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URNERN\Desktop\HH goldfish\telemetryR\larger master data files_2024\"/>
    </mc:Choice>
  </mc:AlternateContent>
  <xr:revisionPtr revIDLastSave="0" documentId="8_{EAA568EF-3A36-4674-BD3F-D68E762151F6}" xr6:coauthVersionLast="47" xr6:coauthVersionMax="47" xr10:uidLastSave="{00000000-0000-0000-0000-000000000000}"/>
  <bookViews>
    <workbookView xWindow="-120" yWindow="-120" windowWidth="29040" windowHeight="15720" xr2:uid="{DDBD049C-C794-4198-AC45-0E3959B5BD1C}"/>
  </bookViews>
  <sheets>
    <sheet name="Sheet1" sheetId="1" r:id="rId1"/>
  </sheets>
  <definedNames>
    <definedName name="_xlnm._FilterDatabase" localSheetId="0" hidden="1">Sheet1!$A$1:$AP$418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399" i="1" l="1"/>
  <c r="AP398" i="1"/>
  <c r="AD398" i="1"/>
  <c r="AP397" i="1"/>
  <c r="AD397" i="1"/>
  <c r="AP396" i="1"/>
  <c r="AD396" i="1"/>
  <c r="AP395" i="1"/>
  <c r="AD395" i="1"/>
  <c r="AP394" i="1"/>
  <c r="AD394" i="1"/>
  <c r="AP393" i="1"/>
  <c r="AD393" i="1"/>
  <c r="AP392" i="1"/>
  <c r="AD392" i="1"/>
  <c r="AP391" i="1"/>
  <c r="AD391" i="1"/>
  <c r="AP390" i="1"/>
  <c r="AD390" i="1"/>
  <c r="AP389" i="1"/>
  <c r="AD389" i="1"/>
  <c r="AP388" i="1"/>
  <c r="AD388" i="1"/>
  <c r="AP387" i="1"/>
  <c r="AD387" i="1"/>
  <c r="AP386" i="1"/>
  <c r="AD386" i="1"/>
  <c r="AP385" i="1"/>
  <c r="AD385" i="1"/>
  <c r="AP384" i="1"/>
  <c r="AD384" i="1"/>
  <c r="AP383" i="1"/>
  <c r="AD383" i="1"/>
  <c r="AP382" i="1"/>
  <c r="AD382" i="1"/>
  <c r="AP381" i="1"/>
  <c r="AD381" i="1"/>
  <c r="AP380" i="1"/>
  <c r="AD380" i="1"/>
  <c r="AP379" i="1"/>
  <c r="AD379" i="1"/>
  <c r="AP378" i="1"/>
  <c r="AD378" i="1"/>
  <c r="AP377" i="1"/>
  <c r="AD377" i="1"/>
  <c r="AP376" i="1"/>
  <c r="AD376" i="1"/>
  <c r="AP375" i="1"/>
  <c r="AD375" i="1"/>
  <c r="AP374" i="1"/>
  <c r="AD374" i="1"/>
  <c r="AP373" i="1"/>
  <c r="AD373" i="1"/>
  <c r="AP372" i="1"/>
  <c r="AD372" i="1"/>
  <c r="AP371" i="1"/>
  <c r="AD371" i="1"/>
  <c r="AP370" i="1"/>
  <c r="AD370" i="1"/>
  <c r="AP369" i="1"/>
  <c r="AD369" i="1"/>
  <c r="AP368" i="1"/>
  <c r="AD368" i="1"/>
  <c r="AP367" i="1"/>
  <c r="AD367" i="1"/>
  <c r="AP366" i="1"/>
  <c r="AD366" i="1"/>
  <c r="AP365" i="1"/>
  <c r="AD365" i="1"/>
  <c r="AP364" i="1"/>
  <c r="AD364" i="1"/>
  <c r="AP363" i="1"/>
  <c r="AD363" i="1"/>
  <c r="AP362" i="1"/>
  <c r="AD362" i="1"/>
  <c r="AP361" i="1"/>
  <c r="AD361" i="1"/>
  <c r="AP360" i="1"/>
  <c r="AD360" i="1"/>
  <c r="AP359" i="1"/>
  <c r="AD359" i="1"/>
  <c r="AP358" i="1"/>
  <c r="AD358" i="1"/>
  <c r="AP357" i="1"/>
  <c r="AD357" i="1"/>
  <c r="AP356" i="1"/>
  <c r="AD356" i="1"/>
  <c r="AP355" i="1"/>
  <c r="AP354" i="1"/>
  <c r="AP353" i="1"/>
  <c r="AP352" i="1"/>
  <c r="AP351" i="1"/>
  <c r="AP350" i="1"/>
  <c r="AP349" i="1"/>
  <c r="AP348" i="1"/>
  <c r="AP347" i="1"/>
  <c r="AP346" i="1"/>
  <c r="AP345" i="1"/>
  <c r="AP344" i="1"/>
  <c r="AP343" i="1"/>
  <c r="AP342" i="1"/>
  <c r="AP341" i="1"/>
  <c r="AP340" i="1"/>
  <c r="AP339" i="1"/>
  <c r="AP338" i="1"/>
  <c r="AP337" i="1"/>
  <c r="AP336" i="1"/>
  <c r="AP335" i="1"/>
  <c r="AP334" i="1"/>
  <c r="AP333" i="1"/>
  <c r="AP332" i="1"/>
  <c r="AP331" i="1"/>
  <c r="AP330" i="1"/>
  <c r="AP329" i="1"/>
  <c r="AP328" i="1"/>
  <c r="AP327" i="1"/>
  <c r="AP326" i="1"/>
  <c r="AP325" i="1"/>
  <c r="AP324" i="1"/>
  <c r="AP323" i="1"/>
  <c r="AP322" i="1"/>
  <c r="AP321" i="1"/>
  <c r="AP320" i="1"/>
  <c r="AP319" i="1"/>
  <c r="AP318" i="1"/>
  <c r="AP317" i="1"/>
  <c r="AP316" i="1"/>
  <c r="AP315" i="1"/>
  <c r="AP314" i="1"/>
  <c r="AP313" i="1"/>
  <c r="AP312" i="1"/>
  <c r="AP311" i="1"/>
  <c r="AP310" i="1"/>
  <c r="AP309" i="1"/>
  <c r="AP308" i="1"/>
  <c r="AP307" i="1"/>
  <c r="AP306" i="1"/>
  <c r="AP305" i="1"/>
  <c r="AP304" i="1"/>
  <c r="AP303" i="1"/>
  <c r="AP302" i="1"/>
  <c r="AP301" i="1"/>
  <c r="AP300" i="1"/>
  <c r="AP299" i="1"/>
  <c r="AP298" i="1"/>
  <c r="AP297" i="1"/>
  <c r="AP296" i="1"/>
  <c r="AP295" i="1"/>
  <c r="AP294" i="1"/>
  <c r="AP293" i="1"/>
  <c r="AP292" i="1"/>
  <c r="AP291" i="1"/>
  <c r="AP290" i="1"/>
  <c r="AP289" i="1"/>
  <c r="AP288" i="1"/>
  <c r="AP287" i="1"/>
  <c r="AP286" i="1"/>
  <c r="AP285" i="1"/>
  <c r="AP284" i="1"/>
  <c r="AP283" i="1"/>
  <c r="AP282" i="1"/>
  <c r="AP272" i="1"/>
  <c r="AD272" i="1"/>
  <c r="AP270" i="1"/>
  <c r="AD270" i="1"/>
  <c r="AP247" i="1"/>
  <c r="AD247" i="1"/>
  <c r="AP242" i="1"/>
  <c r="AD242" i="1"/>
  <c r="AP241" i="1"/>
  <c r="AP240" i="1"/>
  <c r="AP150" i="1"/>
  <c r="AP149" i="1"/>
  <c r="AP148" i="1"/>
  <c r="AP147" i="1"/>
  <c r="AP146" i="1"/>
  <c r="AP105" i="1"/>
  <c r="AP104" i="1"/>
  <c r="AP103" i="1"/>
  <c r="AP88" i="1"/>
  <c r="AP87" i="1"/>
  <c r="AP86" i="1"/>
  <c r="AP85" i="1"/>
  <c r="AP84" i="1"/>
  <c r="AP83" i="1"/>
  <c r="AP82" i="1"/>
  <c r="AP81" i="1"/>
  <c r="AP80" i="1"/>
  <c r="AP79" i="1"/>
  <c r="AP78" i="1"/>
  <c r="AP77" i="1"/>
  <c r="AP76" i="1"/>
  <c r="AP75" i="1"/>
  <c r="AP74" i="1"/>
  <c r="AP73" i="1"/>
  <c r="AP72" i="1"/>
  <c r="AP71" i="1"/>
  <c r="AP70" i="1"/>
  <c r="AP69" i="1"/>
  <c r="AP68" i="1"/>
  <c r="AP67" i="1"/>
  <c r="AP66" i="1"/>
  <c r="AP65" i="1"/>
  <c r="AP64" i="1"/>
  <c r="AP63" i="1"/>
  <c r="AP62" i="1"/>
  <c r="AP61" i="1"/>
  <c r="AP60" i="1"/>
  <c r="AP59" i="1"/>
  <c r="AP58" i="1"/>
  <c r="AP57" i="1"/>
  <c r="AP56" i="1"/>
  <c r="AP55" i="1"/>
</calcChain>
</file>

<file path=xl/sharedStrings.xml><?xml version="1.0" encoding="utf-8"?>
<sst xmlns="http://schemas.openxmlformats.org/spreadsheetml/2006/main" count="6343" uniqueCount="1055">
  <si>
    <t>Status</t>
  </si>
  <si>
    <t>Final J Date</t>
  </si>
  <si>
    <t>Final_Date</t>
  </si>
  <si>
    <t>VUE Species Code</t>
  </si>
  <si>
    <t>Vue Code</t>
  </si>
  <si>
    <t>GLATOS_RELEASE_DATE_TIME</t>
  </si>
  <si>
    <t>GLATOS_TIMEZONE</t>
  </si>
  <si>
    <t>COMMON_NAME_E</t>
  </si>
  <si>
    <t>SCIENTIFIC_NAME</t>
  </si>
  <si>
    <t>TAG_ID_CODE</t>
  </si>
  <si>
    <t>TAG_CODE_SPACE</t>
  </si>
  <si>
    <t>Tag SN</t>
  </si>
  <si>
    <t>Floy #</t>
  </si>
  <si>
    <t>PIT #</t>
  </si>
  <si>
    <t>Standard (mm)</t>
  </si>
  <si>
    <t>Fork (mm)</t>
  </si>
  <si>
    <t>Total (mm)</t>
  </si>
  <si>
    <t>Mass (g)</t>
  </si>
  <si>
    <t>Sex</t>
  </si>
  <si>
    <t>Surgery Time</t>
  </si>
  <si>
    <t>Surgeon</t>
  </si>
  <si>
    <t>RELEASE_LOCATION</t>
  </si>
  <si>
    <t>GLATOS_PROJECT</t>
  </si>
  <si>
    <t>GLATOS_TAG_RECOVERED</t>
  </si>
  <si>
    <t>GLATOS_CAUGHT_DATE</t>
  </si>
  <si>
    <t>Release Location</t>
  </si>
  <si>
    <t>Release Latitude</t>
  </si>
  <si>
    <t>Release Longitude</t>
  </si>
  <si>
    <t>Capture Method</t>
  </si>
  <si>
    <t>Pinger Full ID</t>
  </si>
  <si>
    <t>Family</t>
  </si>
  <si>
    <t>SensorType</t>
  </si>
  <si>
    <t>Range</t>
  </si>
  <si>
    <t>Slope</t>
  </si>
  <si>
    <t>Intercept</t>
  </si>
  <si>
    <t>Order#</t>
  </si>
  <si>
    <t>Min</t>
  </si>
  <si>
    <t>Max-Delay</t>
  </si>
  <si>
    <t>Battery life</t>
  </si>
  <si>
    <t>Comments</t>
  </si>
  <si>
    <t>Notes</t>
  </si>
  <si>
    <t>Date tag dies</t>
  </si>
  <si>
    <t>Dead</t>
  </si>
  <si>
    <t>Wall</t>
  </si>
  <si>
    <t>Eastern</t>
  </si>
  <si>
    <t>Walleye</t>
  </si>
  <si>
    <t>Sander vitreus</t>
  </si>
  <si>
    <t>DIED</t>
  </si>
  <si>
    <t>Hamilton Harbour</t>
  </si>
  <si>
    <t>HAMLO</t>
  </si>
  <si>
    <t>No</t>
  </si>
  <si>
    <t>Stressed from capture, never recovered, taken for samples by OMNRF</t>
  </si>
  <si>
    <t>Wall 15762</t>
  </si>
  <si>
    <t>A69-9004</t>
  </si>
  <si>
    <t>A69-9004-15762</t>
  </si>
  <si>
    <t>V13P-1L</t>
  </si>
  <si>
    <t>P</t>
  </si>
  <si>
    <t>Wall 15751</t>
  </si>
  <si>
    <t>A69-9004-15751</t>
  </si>
  <si>
    <t>Alive</t>
  </si>
  <si>
    <t>Wall 15758</t>
  </si>
  <si>
    <t>A69-9004-15758</t>
  </si>
  <si>
    <t>Wall 15752</t>
  </si>
  <si>
    <t>A69-9004-15752</t>
  </si>
  <si>
    <t>Didn't recover well, taken for samples by OMNRF</t>
  </si>
  <si>
    <t>Unknown</t>
  </si>
  <si>
    <t>one detection at Canal east</t>
  </si>
  <si>
    <t>Wall 15754</t>
  </si>
  <si>
    <t>A69-9004-15754</t>
  </si>
  <si>
    <t>Wall 15755</t>
  </si>
  <si>
    <t>A69-9004-15755</t>
  </si>
  <si>
    <t>Didn't recover well, taken for samples by OMNRF.</t>
  </si>
  <si>
    <t>Wall 15750</t>
  </si>
  <si>
    <t>A69-9004-15750</t>
  </si>
  <si>
    <t>no data</t>
  </si>
  <si>
    <t>Wall 15753</t>
  </si>
  <si>
    <t>A69-9004-15753</t>
  </si>
  <si>
    <t>Wall 15761</t>
  </si>
  <si>
    <t>A69-9004-15761</t>
  </si>
  <si>
    <t>Stelco corner Feb 2017</t>
  </si>
  <si>
    <t>Wall 15760</t>
  </si>
  <si>
    <t>A69-9004-15760</t>
  </si>
  <si>
    <t>check trough</t>
  </si>
  <si>
    <t>Unknown/CE</t>
  </si>
  <si>
    <t>Wall 15766</t>
  </si>
  <si>
    <t>A69-9004-15766</t>
  </si>
  <si>
    <t>Wall 15768</t>
  </si>
  <si>
    <t>A69-9004-15768</t>
  </si>
  <si>
    <t>Too large for trough</t>
  </si>
  <si>
    <t>Wall 15769</t>
  </si>
  <si>
    <t>A69-9004-15769</t>
  </si>
  <si>
    <t>Dead 2018</t>
  </si>
  <si>
    <t>Angled Oct 2018</t>
  </si>
  <si>
    <t>Wall 15756</t>
  </si>
  <si>
    <t>A69-9004-15756</t>
  </si>
  <si>
    <t>measured with tape measure</t>
  </si>
  <si>
    <t>Wall 15759</t>
  </si>
  <si>
    <t>A69-9004-15759</t>
  </si>
  <si>
    <t>Wall 15767</t>
  </si>
  <si>
    <t>A69-9004-15767</t>
  </si>
  <si>
    <t>Wall 15757</t>
  </si>
  <si>
    <t>A69-9004-15757</t>
  </si>
  <si>
    <t>Wall 15771</t>
  </si>
  <si>
    <t>West</t>
  </si>
  <si>
    <t>MNR Trap</t>
  </si>
  <si>
    <t>A69-9004-15771</t>
  </si>
  <si>
    <t xml:space="preserve">Unknown </t>
  </si>
  <si>
    <t>Wall 15764</t>
  </si>
  <si>
    <t>A69-9004-15764</t>
  </si>
  <si>
    <t>Wall 00079</t>
  </si>
  <si>
    <t>A69-1105</t>
  </si>
  <si>
    <t>A69-1105-00079</t>
  </si>
  <si>
    <t>Wall 00083</t>
  </si>
  <si>
    <t>A69-1105-00083</t>
  </si>
  <si>
    <t>Wall 15774</t>
  </si>
  <si>
    <t>A69-9004-15774</t>
  </si>
  <si>
    <t>Wall 15765</t>
  </si>
  <si>
    <t>A69-9004-15765</t>
  </si>
  <si>
    <t>Wall 15772</t>
  </si>
  <si>
    <t>A69-9004-15772</t>
  </si>
  <si>
    <t>Wall 15763</t>
  </si>
  <si>
    <t>A69-9004-15763</t>
  </si>
  <si>
    <t>Pike</t>
  </si>
  <si>
    <t>Pike 15773</t>
  </si>
  <si>
    <t>Northern Pike</t>
  </si>
  <si>
    <t>Esox lucius</t>
  </si>
  <si>
    <t>A69-9004-15773</t>
  </si>
  <si>
    <t>Bass</t>
  </si>
  <si>
    <t>Bass 15770</t>
  </si>
  <si>
    <t>Largemouth Bass</t>
  </si>
  <si>
    <t>Micropterus salmoides</t>
  </si>
  <si>
    <t>A69-9004-15770</t>
  </si>
  <si>
    <t>Bowf</t>
  </si>
  <si>
    <t>Bowf 00053</t>
  </si>
  <si>
    <t>Bowfin</t>
  </si>
  <si>
    <t>Amia calva</t>
  </si>
  <si>
    <t>A69-1105-00053</t>
  </si>
  <si>
    <t>Pike 00029</t>
  </si>
  <si>
    <t>E-fish</t>
  </si>
  <si>
    <t>A69-1105-00029</t>
  </si>
  <si>
    <t>Pike 00030</t>
  </si>
  <si>
    <t>A69-1105-00030</t>
  </si>
  <si>
    <t>old angle wound healed</t>
  </si>
  <si>
    <t>Pike 00031</t>
  </si>
  <si>
    <t>A69-1105-00031</t>
  </si>
  <si>
    <t>weird lip-healed</t>
  </si>
  <si>
    <t>Bass 00033</t>
  </si>
  <si>
    <t>A69-1105-00033</t>
  </si>
  <si>
    <t>melanistic spots</t>
  </si>
  <si>
    <t>Bass 00034</t>
  </si>
  <si>
    <t>A69-1105-00034</t>
  </si>
  <si>
    <t>ok</t>
  </si>
  <si>
    <t>Pike 00035</t>
  </si>
  <si>
    <t>A69-1105-00035</t>
  </si>
  <si>
    <t>side infection</t>
  </si>
  <si>
    <t>Pike 00032</t>
  </si>
  <si>
    <t>A69-1105-00032</t>
  </si>
  <si>
    <t>Pike 00054</t>
  </si>
  <si>
    <t>A69-1105-00054</t>
  </si>
  <si>
    <t>Bass 00036</t>
  </si>
  <si>
    <t>A69-1105-00036</t>
  </si>
  <si>
    <t>Bass 00037</t>
  </si>
  <si>
    <t>A69-1105-00037</t>
  </si>
  <si>
    <t>healed lesion on anal fin</t>
  </si>
  <si>
    <t>Bass 00038</t>
  </si>
  <si>
    <t>A69-1105-00038</t>
  </si>
  <si>
    <t>fat</t>
  </si>
  <si>
    <t>Bass 00039</t>
  </si>
  <si>
    <t>A69-1105-00039</t>
  </si>
  <si>
    <t>melanistic spots dorsal fin</t>
  </si>
  <si>
    <t>Bass 00040</t>
  </si>
  <si>
    <t>A69-1105-00040</t>
  </si>
  <si>
    <t>lesion on tail</t>
  </si>
  <si>
    <t>Bass 00044</t>
  </si>
  <si>
    <t>A69-1105-00044</t>
  </si>
  <si>
    <t>melanistic spots on cudal/side</t>
  </si>
  <si>
    <t>Bass 00043</t>
  </si>
  <si>
    <t>A69-1105-00043</t>
  </si>
  <si>
    <t>Pike 00041</t>
  </si>
  <si>
    <t>A69-1105-00041</t>
  </si>
  <si>
    <t>scale loss, old wound</t>
  </si>
  <si>
    <t>Pike 00055</t>
  </si>
  <si>
    <t>A69-1105-00055</t>
  </si>
  <si>
    <t>lower jaw scrape</t>
  </si>
  <si>
    <t>Bass 00049</t>
  </si>
  <si>
    <t>A69-1105-00049</t>
  </si>
  <si>
    <t>melamistic spots on back</t>
  </si>
  <si>
    <t>Bass 00050</t>
  </si>
  <si>
    <t>A69-1105-00050</t>
  </si>
  <si>
    <t>old lip wound</t>
  </si>
  <si>
    <t>Bass 00045</t>
  </si>
  <si>
    <t>A69-1105-00045</t>
  </si>
  <si>
    <t>Bass 00046</t>
  </si>
  <si>
    <t>A69-1105-00046</t>
  </si>
  <si>
    <t>gross thing on tail</t>
  </si>
  <si>
    <t>Bass 00042</t>
  </si>
  <si>
    <t>A69-1105-00042</t>
  </si>
  <si>
    <t>eye wound, blind left eye, skinny</t>
  </si>
  <si>
    <t>Chan</t>
  </si>
  <si>
    <t>Chan 15429</t>
  </si>
  <si>
    <t>Channel Catfish</t>
  </si>
  <si>
    <t>Ictalurus punctatus</t>
  </si>
  <si>
    <t>M</t>
  </si>
  <si>
    <t>Fishway</t>
  </si>
  <si>
    <t>A69-9004-15429</t>
  </si>
  <si>
    <t>Chan 15430</t>
  </si>
  <si>
    <t>F</t>
  </si>
  <si>
    <t>A69-9004-15430</t>
  </si>
  <si>
    <t>Chan 15431</t>
  </si>
  <si>
    <t>A69-9004-15431</t>
  </si>
  <si>
    <t>Chan 15432</t>
  </si>
  <si>
    <t>A69-9004-15432</t>
  </si>
  <si>
    <t>Chan 15434</t>
  </si>
  <si>
    <t>A69-9004-15434</t>
  </si>
  <si>
    <t>one detection</t>
  </si>
  <si>
    <t>Pike 15436</t>
  </si>
  <si>
    <t>E-fishing</t>
  </si>
  <si>
    <t>A69-9004-15436</t>
  </si>
  <si>
    <t>Drum</t>
  </si>
  <si>
    <t>Drum 15439</t>
  </si>
  <si>
    <t>Freshwater Drum</t>
  </si>
  <si>
    <t>Aplodinotus grunniens</t>
  </si>
  <si>
    <t>A69-9004-15439</t>
  </si>
  <si>
    <t>Suck</t>
  </si>
  <si>
    <t>Suck 15433</t>
  </si>
  <si>
    <t>White Sucker</t>
  </si>
  <si>
    <t>Catostomus commersonii</t>
  </si>
  <si>
    <t>Christine Transect HH16</t>
  </si>
  <si>
    <t>A69-9004-15433</t>
  </si>
  <si>
    <t xml:space="preserve"> Blood 1</t>
  </si>
  <si>
    <t>Suck 15435</t>
  </si>
  <si>
    <t>Christine Transect HH14</t>
  </si>
  <si>
    <t>A69-9004-15435</t>
  </si>
  <si>
    <t>Wall 18972</t>
  </si>
  <si>
    <t>A69-9001</t>
  </si>
  <si>
    <t>A69-9001-18972</t>
  </si>
  <si>
    <t>V13-1L</t>
  </si>
  <si>
    <t>Drum 15438</t>
  </si>
  <si>
    <t>CB DATA Sheet</t>
  </si>
  <si>
    <t>DATA Sheet</t>
  </si>
  <si>
    <t>Bayfront West</t>
  </si>
  <si>
    <t>A69-9004-15438</t>
  </si>
  <si>
    <t>Pike 15452</t>
  </si>
  <si>
    <t>Bayfront Slip</t>
  </si>
  <si>
    <t>A69-9004-15452</t>
  </si>
  <si>
    <t>Suck 15451</t>
  </si>
  <si>
    <t>Bayfront Beach</t>
  </si>
  <si>
    <t>A69-9004-15451</t>
  </si>
  <si>
    <t>Blood 3</t>
  </si>
  <si>
    <t>Suck 15454</t>
  </si>
  <si>
    <t>A69-9004-15454</t>
  </si>
  <si>
    <t>Blood 2</t>
  </si>
  <si>
    <t>Wall 18971</t>
  </si>
  <si>
    <t>A69-9001-18971</t>
  </si>
  <si>
    <t>Suck 15437</t>
  </si>
  <si>
    <t>A69-9004-15437</t>
  </si>
  <si>
    <t>Blood 5</t>
  </si>
  <si>
    <t>Suck 15440</t>
  </si>
  <si>
    <t>A69-9004-15440</t>
  </si>
  <si>
    <t>Blood 4</t>
  </si>
  <si>
    <t>Suck 15450</t>
  </si>
  <si>
    <t>A69-9004-15450</t>
  </si>
  <si>
    <t>Blood 7</t>
  </si>
  <si>
    <t>Pike 15448</t>
  </si>
  <si>
    <t>Bayfront slip</t>
  </si>
  <si>
    <t>A69-9004-15448</t>
  </si>
  <si>
    <t>New Grindstone</t>
  </si>
  <si>
    <t>Suck 15453</t>
  </si>
  <si>
    <t>A69-9004-15453</t>
  </si>
  <si>
    <t>Blood 6</t>
  </si>
  <si>
    <t>Pike 15447</t>
  </si>
  <si>
    <t>Islands West</t>
  </si>
  <si>
    <t>A69-9004-15447</t>
  </si>
  <si>
    <t>Pretty banged up</t>
  </si>
  <si>
    <t>Pike 15449</t>
  </si>
  <si>
    <t>A69-9004-15449</t>
  </si>
  <si>
    <t>Suck 15444</t>
  </si>
  <si>
    <t>A69-9004-15444</t>
  </si>
  <si>
    <t>Blood 8</t>
  </si>
  <si>
    <t>Wall 18969</t>
  </si>
  <si>
    <t>A69-9001-18969</t>
  </si>
  <si>
    <t>Wall 18970</t>
  </si>
  <si>
    <t>A69-9001-18970</t>
  </si>
  <si>
    <t>Suck 15446</t>
  </si>
  <si>
    <t>A69-9004-15446</t>
  </si>
  <si>
    <t>Blood 9</t>
  </si>
  <si>
    <t>one location</t>
  </si>
  <si>
    <t>Suck 15443</t>
  </si>
  <si>
    <t>A69-9004-15443</t>
  </si>
  <si>
    <t>Blood 10</t>
  </si>
  <si>
    <t>Suck 15442</t>
  </si>
  <si>
    <t>A69-9004-15442</t>
  </si>
  <si>
    <t>Blood 11</t>
  </si>
  <si>
    <t>Suck 15441</t>
  </si>
  <si>
    <t>A69-9004-15441</t>
  </si>
  <si>
    <t>Blood 12</t>
  </si>
  <si>
    <t>Suck 15445</t>
  </si>
  <si>
    <t>A69-9004-15445</t>
  </si>
  <si>
    <t>Blood 13</t>
  </si>
  <si>
    <t>Wall 18973</t>
  </si>
  <si>
    <t>Ottawa Slip</t>
  </si>
  <si>
    <t>A69-9001-18973</t>
  </si>
  <si>
    <t>Ottawa slip</t>
  </si>
  <si>
    <t>Wall 18968</t>
  </si>
  <si>
    <t>A69-9001-18968</t>
  </si>
  <si>
    <t>Could be dead check</t>
  </si>
  <si>
    <t>Wall 18963</t>
  </si>
  <si>
    <t>A69-9001-18963</t>
  </si>
  <si>
    <t>Wall 18964</t>
  </si>
  <si>
    <t>A69-9001-18964</t>
  </si>
  <si>
    <t>Drum 15218</t>
  </si>
  <si>
    <t>A69-9004-15218</t>
  </si>
  <si>
    <t>Did not recovery from shocking</t>
  </si>
  <si>
    <t>Drum 15215</t>
  </si>
  <si>
    <t>A69-9004-15215</t>
  </si>
  <si>
    <t>Drum 15216</t>
  </si>
  <si>
    <t>A69-9004-15216</t>
  </si>
  <si>
    <t>LGar</t>
  </si>
  <si>
    <t>LGar 15217</t>
  </si>
  <si>
    <t>Longnose Gar</t>
  </si>
  <si>
    <t>Lepisosteus osseus</t>
  </si>
  <si>
    <t>A69-9004-15217</t>
  </si>
  <si>
    <t>Used clove oil for induction at 65 ppm (mixed with 70% ethanol at 1:10 ratio)</t>
  </si>
  <si>
    <t>LGar 15214</t>
  </si>
  <si>
    <t>A69-9004-15214</t>
  </si>
  <si>
    <t>LGar 15210</t>
  </si>
  <si>
    <t>A69-9004-15210</t>
  </si>
  <si>
    <t>LGar 15211</t>
  </si>
  <si>
    <t>A69-9004-15211</t>
  </si>
  <si>
    <t>LGar 15212</t>
  </si>
  <si>
    <t>A69-9004-15212</t>
  </si>
  <si>
    <t>LGar 15213</t>
  </si>
  <si>
    <t>A69-9004-15213</t>
  </si>
  <si>
    <t>LGar 15206</t>
  </si>
  <si>
    <t>A69-9004-15206</t>
  </si>
  <si>
    <t>LGar 15207</t>
  </si>
  <si>
    <t>A69-9004-15207</t>
  </si>
  <si>
    <t>LGar 15208</t>
  </si>
  <si>
    <t>A69-9004-15208</t>
  </si>
  <si>
    <t>LGar 15209</t>
  </si>
  <si>
    <t>A69-9004-15209</t>
  </si>
  <si>
    <t>Wall 18965</t>
  </si>
  <si>
    <t>NA</t>
  </si>
  <si>
    <t>A69-9001-18965</t>
  </si>
  <si>
    <t>Floy tags were unavailable for tagging</t>
  </si>
  <si>
    <t>Wall 18966</t>
  </si>
  <si>
    <t>A69-9001-18966</t>
  </si>
  <si>
    <t>Wall 18967</t>
  </si>
  <si>
    <t>A69-9001-18967</t>
  </si>
  <si>
    <t>LGar 15205</t>
  </si>
  <si>
    <t>A69-9004-15205</t>
  </si>
  <si>
    <t>LGar 15204</t>
  </si>
  <si>
    <t>A69-9004-15204</t>
  </si>
  <si>
    <t>LGar 15203</t>
  </si>
  <si>
    <t>A69-9004-15203</t>
  </si>
  <si>
    <t>LGar 15202</t>
  </si>
  <si>
    <t>A69-9004-15202</t>
  </si>
  <si>
    <t>LGar 15200</t>
  </si>
  <si>
    <t>A69-9004-15200</t>
  </si>
  <si>
    <t>Drum 15197</t>
  </si>
  <si>
    <t>South Shore Is</t>
  </si>
  <si>
    <t>A69-9004-15197</t>
  </si>
  <si>
    <t>Used boat for induction: 11 amps, 2 x 5 seconds</t>
  </si>
  <si>
    <t>Perc</t>
  </si>
  <si>
    <t>Perc 45364</t>
  </si>
  <si>
    <t>Yellow Perch</t>
  </si>
  <si>
    <t>Perca flavescens</t>
  </si>
  <si>
    <t>A69-1601</t>
  </si>
  <si>
    <t>A69-1601-45364</t>
  </si>
  <si>
    <t>V7-2L</t>
  </si>
  <si>
    <t>Used boat for induction: 11 amps, 1 x 5 seconds</t>
  </si>
  <si>
    <t>Wall 52869</t>
  </si>
  <si>
    <t>A69-1601-52869</t>
  </si>
  <si>
    <t>Used boat for induction: 11 amps, 2 x 4 seconds</t>
  </si>
  <si>
    <t>Perc 45357</t>
  </si>
  <si>
    <t>Bayfront Boat Launch</t>
  </si>
  <si>
    <t>A69-1601-45357</t>
  </si>
  <si>
    <t>Perc 45358</t>
  </si>
  <si>
    <t>A69-1601-45358</t>
  </si>
  <si>
    <t>Perc 45359</t>
  </si>
  <si>
    <t>A69-1601-45359</t>
  </si>
  <si>
    <t>Perc 45360</t>
  </si>
  <si>
    <t>A69-1601-45360</t>
  </si>
  <si>
    <t>Perc 45361</t>
  </si>
  <si>
    <t>A69-1601-45361</t>
  </si>
  <si>
    <t>Drum 15196</t>
  </si>
  <si>
    <t>A69-9004-15196</t>
  </si>
  <si>
    <t>Used boat for induction: 11 amps, 1 x 6 seconds</t>
  </si>
  <si>
    <t>Perc 45362</t>
  </si>
  <si>
    <t>A69-1601-45362</t>
  </si>
  <si>
    <t>Perc 45363</t>
  </si>
  <si>
    <t>A69-1601-45363</t>
  </si>
  <si>
    <t>Perc 45369</t>
  </si>
  <si>
    <t>A69-1601-45369</t>
  </si>
  <si>
    <t>Perc 45370</t>
  </si>
  <si>
    <t>A69-1601-45370</t>
  </si>
  <si>
    <t>Perc 45371</t>
  </si>
  <si>
    <t>A69-1601-45371</t>
  </si>
  <si>
    <t>Perc 45367</t>
  </si>
  <si>
    <t>Bayfront Marina</t>
  </si>
  <si>
    <t>A69-1601-45367</t>
  </si>
  <si>
    <t>Used boat for induction: 11 amps, 1 x 7 seconds</t>
  </si>
  <si>
    <t>Perc 45368</t>
  </si>
  <si>
    <t>A69-1601-45368</t>
  </si>
  <si>
    <t>Perc 45365</t>
  </si>
  <si>
    <t>A69-1601-45365</t>
  </si>
  <si>
    <t>Perc 45366</t>
  </si>
  <si>
    <t>A69-1601-45366</t>
  </si>
  <si>
    <t>Drum 15244</t>
  </si>
  <si>
    <t>H26</t>
  </si>
  <si>
    <t>A69-9004-15244</t>
  </si>
  <si>
    <t>Used boat for induction: 11 amps, 1 x 8 seconds</t>
  </si>
  <si>
    <t>Wall 52870</t>
  </si>
  <si>
    <t>E Willow Point</t>
  </si>
  <si>
    <t>A69-1601-52870</t>
  </si>
  <si>
    <t>Suck 15198</t>
  </si>
  <si>
    <t>A69-9004-15198</t>
  </si>
  <si>
    <t>Used boat for induction: 10 amps, 1 x 8 seconds</t>
  </si>
  <si>
    <t>left the array</t>
  </si>
  <si>
    <t>Wall 52867</t>
  </si>
  <si>
    <t>A69-1601-52867</t>
  </si>
  <si>
    <t>???</t>
  </si>
  <si>
    <t>Wall 52868</t>
  </si>
  <si>
    <t>A69-1601-52868</t>
  </si>
  <si>
    <t>Pike 15246</t>
  </si>
  <si>
    <t>M?</t>
  </si>
  <si>
    <t>West Islands</t>
  </si>
  <si>
    <t>A69-9004-15246</t>
  </si>
  <si>
    <t>Used boat for induction: 12 amps, 1 x 5 seconds</t>
  </si>
  <si>
    <t>Wall 52871</t>
  </si>
  <si>
    <t>Boat Club</t>
  </si>
  <si>
    <t>A69-1601-52871</t>
  </si>
  <si>
    <t>Wall 52866</t>
  </si>
  <si>
    <t>1 (DFO)</t>
  </si>
  <si>
    <t>E.Lasalle</t>
  </si>
  <si>
    <t>Trap Net</t>
  </si>
  <si>
    <t>A69-1601-52866</t>
  </si>
  <si>
    <t>Used efishing gloves for induction</t>
  </si>
  <si>
    <t>Wall 52872</t>
  </si>
  <si>
    <t>2 (DFO)</t>
  </si>
  <si>
    <t>F?</t>
  </si>
  <si>
    <t>A69-1601-52872</t>
  </si>
  <si>
    <t>April 2017'</t>
  </si>
  <si>
    <t>Wall 52873</t>
  </si>
  <si>
    <t>3 (DFO)</t>
  </si>
  <si>
    <t>A69-1601-52873</t>
  </si>
  <si>
    <t>Wall 52874</t>
  </si>
  <si>
    <t>4 (DFO)</t>
  </si>
  <si>
    <t>Btw Lasalle &amp; STP</t>
  </si>
  <si>
    <t>A69-1601-52874</t>
  </si>
  <si>
    <t>Drum 15194</t>
  </si>
  <si>
    <t>6 (DFO)</t>
  </si>
  <si>
    <t>Desjardins West</t>
  </si>
  <si>
    <t>A69-9004-15194</t>
  </si>
  <si>
    <t>Drum 15195</t>
  </si>
  <si>
    <t>5 (DFO)</t>
  </si>
  <si>
    <t>A69-9004-15195</t>
  </si>
  <si>
    <t>Drum 15247</t>
  </si>
  <si>
    <t>7 (DFO)</t>
  </si>
  <si>
    <t>A69-9004-15247</t>
  </si>
  <si>
    <t>Drum 15199</t>
  </si>
  <si>
    <t>11 (DFO)</t>
  </si>
  <si>
    <t>W of Willow Point</t>
  </si>
  <si>
    <t>A69-9004-15199</t>
  </si>
  <si>
    <t>Drum 15245</t>
  </si>
  <si>
    <t>9 (DFO)</t>
  </si>
  <si>
    <t>A69-9004-15245</t>
  </si>
  <si>
    <t>Drum 15248</t>
  </si>
  <si>
    <t>8 (DFO)</t>
  </si>
  <si>
    <t>A69-9004-15248</t>
  </si>
  <si>
    <t>Wall 18962</t>
  </si>
  <si>
    <t>10 (DFO)</t>
  </si>
  <si>
    <t>A69-9001-18962</t>
  </si>
  <si>
    <t>Wall 18958</t>
  </si>
  <si>
    <t>15 (DFO)</t>
  </si>
  <si>
    <t>S.Canal by Skyway</t>
  </si>
  <si>
    <t>A69-9001-18958</t>
  </si>
  <si>
    <t>Wall 18959</t>
  </si>
  <si>
    <t>14 (DFO)</t>
  </si>
  <si>
    <t>A69-9001-18959</t>
  </si>
  <si>
    <t>Wall 18960</t>
  </si>
  <si>
    <t>13 (DFO)</t>
  </si>
  <si>
    <t>A69-9001-18960</t>
  </si>
  <si>
    <t>Wall 18961</t>
  </si>
  <si>
    <t>12 (DFO)</t>
  </si>
  <si>
    <t>A69-9001-18961</t>
  </si>
  <si>
    <t>Drum 15201</t>
  </si>
  <si>
    <t>16 (DFO)</t>
  </si>
  <si>
    <t>A69-9004-15201</t>
  </si>
  <si>
    <t>Wall 16053</t>
  </si>
  <si>
    <t>A69-9006</t>
  </si>
  <si>
    <t>Eastshore SAM01</t>
  </si>
  <si>
    <t>Efishing (spawning survey)</t>
  </si>
  <si>
    <t>A69-9006-16053</t>
  </si>
  <si>
    <t>Milting from wound, no blood</t>
  </si>
  <si>
    <t>Left the array</t>
  </si>
  <si>
    <t>Wall 16054</t>
  </si>
  <si>
    <t>As release</t>
  </si>
  <si>
    <t>A69-9006-16054</t>
  </si>
  <si>
    <t>Wall 16063</t>
  </si>
  <si>
    <t>A69-9006-16063</t>
  </si>
  <si>
    <t>Wall 16051</t>
  </si>
  <si>
    <t>North Shore</t>
  </si>
  <si>
    <t>A69-9006-16051</t>
  </si>
  <si>
    <t>Wall 16052</t>
  </si>
  <si>
    <t>A69-9006-16052</t>
  </si>
  <si>
    <t>Wall 16061</t>
  </si>
  <si>
    <t>A69-9006-16061</t>
  </si>
  <si>
    <t>Wall 16062</t>
  </si>
  <si>
    <t>A69-9006-16062</t>
  </si>
  <si>
    <t>Wall 16050</t>
  </si>
  <si>
    <t>A69-9006-16050</t>
  </si>
  <si>
    <t>Inflammation</t>
  </si>
  <si>
    <t>Wall 16055</t>
  </si>
  <si>
    <t>A69-9006-16055</t>
  </si>
  <si>
    <t>Caught @ Start of MNR Sampling zone</t>
  </si>
  <si>
    <t>Wall 16056</t>
  </si>
  <si>
    <t>A69-9006-16056</t>
  </si>
  <si>
    <t>Caught @ End of MNR Sampling zone</t>
  </si>
  <si>
    <t>Wall 16057</t>
  </si>
  <si>
    <t>A69-9006-16057</t>
  </si>
  <si>
    <t>Caught @ westshore south of Island (SAM 08)</t>
  </si>
  <si>
    <t>Wall 16058</t>
  </si>
  <si>
    <t>A69-9006-16058</t>
  </si>
  <si>
    <t>Wall 16059</t>
  </si>
  <si>
    <t>A69-9006-16059</t>
  </si>
  <si>
    <t>Wall 16060</t>
  </si>
  <si>
    <t>A69-9006-16060</t>
  </si>
  <si>
    <t>Bass 15854</t>
  </si>
  <si>
    <t>Lasalle</t>
  </si>
  <si>
    <t xml:space="preserve">Efishing </t>
  </si>
  <si>
    <t>A69-9006-15854</t>
  </si>
  <si>
    <t>Caught at Lasalle</t>
  </si>
  <si>
    <t>Drum 15856</t>
  </si>
  <si>
    <t>South of Canal</t>
  </si>
  <si>
    <t>A69-9006-15856</t>
  </si>
  <si>
    <t>Drum 15857</t>
  </si>
  <si>
    <t>A69-9006-15857</t>
  </si>
  <si>
    <t>Wildlife Islands</t>
  </si>
  <si>
    <t>Died</t>
  </si>
  <si>
    <t>Bass 15855</t>
  </si>
  <si>
    <t>South of Boatslip (Bayfront)</t>
  </si>
  <si>
    <t>A69-9006-15855</t>
  </si>
  <si>
    <t>Bass 15874</t>
  </si>
  <si>
    <t>A69-9006-15874</t>
  </si>
  <si>
    <t>Bass 15875</t>
  </si>
  <si>
    <t>A69-9006-15875</t>
  </si>
  <si>
    <t>Drum 15872</t>
  </si>
  <si>
    <t>Btw Bayfront and Islands</t>
  </si>
  <si>
    <t>A69-9006-15872</t>
  </si>
  <si>
    <t>slight bleeding from incision</t>
  </si>
  <si>
    <t>Gold</t>
  </si>
  <si>
    <t>Gold 15876</t>
  </si>
  <si>
    <t>Goldfish</t>
  </si>
  <si>
    <t>Carassius auratus</t>
  </si>
  <si>
    <t>A69-9006-15876</t>
  </si>
  <si>
    <t>gravid</t>
  </si>
  <si>
    <t>Pike 15877</t>
  </si>
  <si>
    <t>North Boatslip (Bayfront)</t>
  </si>
  <si>
    <t>A69-9006-15877</t>
  </si>
  <si>
    <t>likely heavier!</t>
  </si>
  <si>
    <t>Bass 15870</t>
  </si>
  <si>
    <t>Bayfront Bay</t>
  </si>
  <si>
    <t>A69-9006-15870</t>
  </si>
  <si>
    <t>missing portions of one pectoral fin</t>
  </si>
  <si>
    <t>Drum 15867</t>
  </si>
  <si>
    <t>A69-9006-15867</t>
  </si>
  <si>
    <t>Drum 15871</t>
  </si>
  <si>
    <t>Bayfront</t>
  </si>
  <si>
    <t>A69-9006-15871</t>
  </si>
  <si>
    <t>Gold 15859</t>
  </si>
  <si>
    <t>A69-9006-15859</t>
  </si>
  <si>
    <t>Gold 15866</t>
  </si>
  <si>
    <t>A69-9006-15866</t>
  </si>
  <si>
    <t>Gold 15868</t>
  </si>
  <si>
    <t>A69-9006-15868</t>
  </si>
  <si>
    <t>Gold 15873</t>
  </si>
  <si>
    <t>A69-9006-15873</t>
  </si>
  <si>
    <t>SBas</t>
  </si>
  <si>
    <t>SBas 15858</t>
  </si>
  <si>
    <t>Smallmouth Bass</t>
  </si>
  <si>
    <t>Micropterus dolomieu</t>
  </si>
  <si>
    <t>Rowing Club</t>
  </si>
  <si>
    <t>A69-9006-15858</t>
  </si>
  <si>
    <t>SBas 15869</t>
  </si>
  <si>
    <t>A69-9006-15869</t>
  </si>
  <si>
    <t>Gold 15860</t>
  </si>
  <si>
    <t>Bayfront Park</t>
  </si>
  <si>
    <t>A69-9006-15860</t>
  </si>
  <si>
    <t>Gold 15863</t>
  </si>
  <si>
    <t>A69-9006-15863</t>
  </si>
  <si>
    <t>Boston's 1st fish!!!</t>
  </si>
  <si>
    <t>Pike 15861</t>
  </si>
  <si>
    <t>A69-9006-15861</t>
  </si>
  <si>
    <t>SBas 15862</t>
  </si>
  <si>
    <t>A69-9006-15862</t>
  </si>
  <si>
    <t>Gold 15851</t>
  </si>
  <si>
    <t>Bayfront east shore</t>
  </si>
  <si>
    <t>A69-9006-15851</t>
  </si>
  <si>
    <t>Brown colour</t>
  </si>
  <si>
    <t>Gold 15853</t>
  </si>
  <si>
    <t>Macassa Bay</t>
  </si>
  <si>
    <t>A69-9006-15853</t>
  </si>
  <si>
    <t>Gold colour</t>
  </si>
  <si>
    <t>Pike 15864</t>
  </si>
  <si>
    <t>A69-9006-15864</t>
  </si>
  <si>
    <t>Brooks</t>
  </si>
  <si>
    <t>Rudd</t>
  </si>
  <si>
    <t>Rudd 15865</t>
  </si>
  <si>
    <t> Scardinius erythrophthalmus</t>
  </si>
  <si>
    <t>Straughan Channel/Bayfront launch</t>
  </si>
  <si>
    <t>trap net</t>
  </si>
  <si>
    <t>A69-9006-15865</t>
  </si>
  <si>
    <t>Carp</t>
  </si>
  <si>
    <t>Carp 15839</t>
  </si>
  <si>
    <t>Common Carp</t>
  </si>
  <si>
    <t>Cyprinus carpio</t>
  </si>
  <si>
    <t>A69-9006-15839</t>
  </si>
  <si>
    <t>Carp 15840</t>
  </si>
  <si>
    <t>A69-9006-15840</t>
  </si>
  <si>
    <t>Carp 15841</t>
  </si>
  <si>
    <t>A69-9006-15841</t>
  </si>
  <si>
    <t>Carp 15844</t>
  </si>
  <si>
    <t>Bayfront Park beach</t>
  </si>
  <si>
    <t>Trapnet</t>
  </si>
  <si>
    <t>A69-9006-15844</t>
  </si>
  <si>
    <t>Boston only</t>
  </si>
  <si>
    <t>Carp 15846</t>
  </si>
  <si>
    <t>A69-9006-15846</t>
  </si>
  <si>
    <t>Carp 15847</t>
  </si>
  <si>
    <t>A69-9006-15847</t>
  </si>
  <si>
    <t>Carp 15848</t>
  </si>
  <si>
    <t>A69-9006-15848</t>
  </si>
  <si>
    <t>Carp 15850</t>
  </si>
  <si>
    <t>A69-9006-15850</t>
  </si>
  <si>
    <t>Carp 15852</t>
  </si>
  <si>
    <t>A69-9006-15852</t>
  </si>
  <si>
    <t>Gold 15849</t>
  </si>
  <si>
    <t>A69-9006-15849</t>
  </si>
  <si>
    <t>Pike 15838</t>
  </si>
  <si>
    <t>A69-9006-15838</t>
  </si>
  <si>
    <t>Pike 15842</t>
  </si>
  <si>
    <t>A69-9006-15842</t>
  </si>
  <si>
    <t>Pike 15843</t>
  </si>
  <si>
    <t>A69-9006-15843</t>
  </si>
  <si>
    <t>Pike 15845</t>
  </si>
  <si>
    <t>A69-9006-15845</t>
  </si>
  <si>
    <t>We didn't get a weight as the fish had already been handled too much and was feeling stressed</t>
  </si>
  <si>
    <t>Carp 15835</t>
  </si>
  <si>
    <t>A69-9006-15835</t>
  </si>
  <si>
    <t>Midwood</t>
  </si>
  <si>
    <t>Pike 15831</t>
  </si>
  <si>
    <t>A69-9006-15831</t>
  </si>
  <si>
    <t>Boston</t>
  </si>
  <si>
    <t>Pike 15832</t>
  </si>
  <si>
    <t xml:space="preserve">Bayfront East shore </t>
  </si>
  <si>
    <t>A69-9006-15832</t>
  </si>
  <si>
    <t>Pike 15833</t>
  </si>
  <si>
    <t>A69-9006-15833</t>
  </si>
  <si>
    <t>Pike 15834</t>
  </si>
  <si>
    <t>A69-9006-15834</t>
  </si>
  <si>
    <t>Pike 15837</t>
  </si>
  <si>
    <t>A69-9006-15837</t>
  </si>
  <si>
    <t>Suck 15836</t>
  </si>
  <si>
    <t>A69-9006-15836</t>
  </si>
  <si>
    <t>Suck 14802</t>
  </si>
  <si>
    <t>RBG Fishway</t>
  </si>
  <si>
    <t>A69-9006-14802</t>
  </si>
  <si>
    <t>Suck 14803</t>
  </si>
  <si>
    <t>A69-9006-14803</t>
  </si>
  <si>
    <t>Suck 14799</t>
  </si>
  <si>
    <t>A69-9006-14799</t>
  </si>
  <si>
    <t>Suck 14794</t>
  </si>
  <si>
    <t>A69-9006-14794</t>
  </si>
  <si>
    <t>Suck 14805</t>
  </si>
  <si>
    <t>A69-9006-14805</t>
  </si>
  <si>
    <t>Suck 14798</t>
  </si>
  <si>
    <t>A69-9006-14798</t>
  </si>
  <si>
    <t>Suck 14806</t>
  </si>
  <si>
    <t>A69-9006-14806</t>
  </si>
  <si>
    <t>Suck 14804</t>
  </si>
  <si>
    <t>A69-9006-14804</t>
  </si>
  <si>
    <t>Suck 14524</t>
  </si>
  <si>
    <t>HH09</t>
  </si>
  <si>
    <t>Efishing</t>
  </si>
  <si>
    <t>A69-9006-14524</t>
  </si>
  <si>
    <t>Carp 14525</t>
  </si>
  <si>
    <t>HH36</t>
  </si>
  <si>
    <t>A69-9006-14525</t>
  </si>
  <si>
    <t>Wall 14519</t>
  </si>
  <si>
    <t>HH34</t>
  </si>
  <si>
    <t>A69-9006-14519</t>
  </si>
  <si>
    <t>LMB</t>
  </si>
  <si>
    <t>LMB 14807</t>
  </si>
  <si>
    <t>HH37</t>
  </si>
  <si>
    <t>A69-9006-14807</t>
  </si>
  <si>
    <t>Carp 14515</t>
  </si>
  <si>
    <t>HH45</t>
  </si>
  <si>
    <t>A69-9006-14515</t>
  </si>
  <si>
    <t>Brooks-green stuff</t>
  </si>
  <si>
    <t>Carp 14509</t>
  </si>
  <si>
    <t>A69-9006-14509</t>
  </si>
  <si>
    <t>Brooks-Super thick body</t>
  </si>
  <si>
    <t>Gold 14510</t>
  </si>
  <si>
    <t>A69-9006-14510</t>
  </si>
  <si>
    <t>Carp 14511</t>
  </si>
  <si>
    <t>HH44</t>
  </si>
  <si>
    <t>A69-9006-14511</t>
  </si>
  <si>
    <t>Brooks-No Pit Tag</t>
  </si>
  <si>
    <t>Carp 14521</t>
  </si>
  <si>
    <t>HH43B</t>
  </si>
  <si>
    <t>A69-9006-14521</t>
  </si>
  <si>
    <t>Brooks-Thick body wall, used pit tag form last fish</t>
  </si>
  <si>
    <t>Carp 14522</t>
  </si>
  <si>
    <t>A69-9006-14522</t>
  </si>
  <si>
    <t>Wall 14516</t>
  </si>
  <si>
    <t>N/A</t>
  </si>
  <si>
    <t>HH26</t>
  </si>
  <si>
    <t>A69-9006-14516</t>
  </si>
  <si>
    <t>LMB 14528</t>
  </si>
  <si>
    <t>HH38</t>
  </si>
  <si>
    <t>A69-9006-14528</t>
  </si>
  <si>
    <t>Brooks-foggy right eye</t>
  </si>
  <si>
    <t>LMB 14527</t>
  </si>
  <si>
    <t>A69-9006-14527</t>
  </si>
  <si>
    <t>Carp 14520</t>
  </si>
  <si>
    <t>HH42B</t>
  </si>
  <si>
    <t>A69-9006-14520</t>
  </si>
  <si>
    <t>Carp 14526</t>
  </si>
  <si>
    <t>A69-9006-14526</t>
  </si>
  <si>
    <t>Carp 14808</t>
  </si>
  <si>
    <t>A69-9006-14808</t>
  </si>
  <si>
    <t>LMB 14517</t>
  </si>
  <si>
    <t>HH42A</t>
  </si>
  <si>
    <t>A69-9006-14517</t>
  </si>
  <si>
    <t>LMB 14512</t>
  </si>
  <si>
    <t>MB01</t>
  </si>
  <si>
    <t>A69-9006-14512</t>
  </si>
  <si>
    <t>Gold 25055</t>
  </si>
  <si>
    <t>A69-1601-25055</t>
  </si>
  <si>
    <t>V9-2x-069k-1</t>
  </si>
  <si>
    <t>Wall 25056</t>
  </si>
  <si>
    <t>MB04</t>
  </si>
  <si>
    <t>A69-1601-25056</t>
  </si>
  <si>
    <t>Wall 1738</t>
  </si>
  <si>
    <t>MB06</t>
  </si>
  <si>
    <t xml:space="preserve">V9-2x </t>
  </si>
  <si>
    <t>UNK</t>
  </si>
  <si>
    <t>Gold 14523</t>
  </si>
  <si>
    <t>A69-9006-14523</t>
  </si>
  <si>
    <t>In datasheets - said this tag was in a LMB - but previous workbook had removed the LMB so presume it was tagged in the goldfish.</t>
  </si>
  <si>
    <t>Sbas 14173</t>
  </si>
  <si>
    <t>HH52</t>
  </si>
  <si>
    <t>A69-9006-14173</t>
  </si>
  <si>
    <t>V13P-1x-069k-1-0034m</t>
  </si>
  <si>
    <t>Sbas 14172</t>
  </si>
  <si>
    <t>A69-9006-14172</t>
  </si>
  <si>
    <t>Sbas 14176</t>
  </si>
  <si>
    <t>A69-9006-14176</t>
  </si>
  <si>
    <t>Sbas 14240</t>
  </si>
  <si>
    <t>HH53</t>
  </si>
  <si>
    <t>V13P-1x</t>
  </si>
  <si>
    <t>Boston-one eyed</t>
  </si>
  <si>
    <t>Gold 9161</t>
  </si>
  <si>
    <t>A69-9006-9161</t>
  </si>
  <si>
    <t>V9P-2x-069k-1</t>
  </si>
  <si>
    <t>Boston 19.5C water temps</t>
  </si>
  <si>
    <t>Pike 12556</t>
  </si>
  <si>
    <t xml:space="preserve">NA </t>
  </si>
  <si>
    <t>A69-9006-12556</t>
  </si>
  <si>
    <t>Wall 12557</t>
  </si>
  <si>
    <t>A69-9006-12557</t>
  </si>
  <si>
    <t>Wall 12554</t>
  </si>
  <si>
    <t>A69-9006-12554</t>
  </si>
  <si>
    <t>Long</t>
  </si>
  <si>
    <t>Wall 12558</t>
  </si>
  <si>
    <t>A69-9006-12558</t>
  </si>
  <si>
    <t>Recapt Oct 22 at HH4</t>
  </si>
  <si>
    <t>Rudd 9154</t>
  </si>
  <si>
    <t>Scardinius erythrophthalmus</t>
  </si>
  <si>
    <t>A69-9006-9154</t>
  </si>
  <si>
    <t>Released without measureing or weighing, 5 mins</t>
  </si>
  <si>
    <t>Pike 12543</t>
  </si>
  <si>
    <t>HH 28</t>
  </si>
  <si>
    <t>A69-9006-12543</t>
  </si>
  <si>
    <t>LMB 12547</t>
  </si>
  <si>
    <t>A69-9006-12547</t>
  </si>
  <si>
    <t>Gold 9148</t>
  </si>
  <si>
    <t>A69-9006-9148</t>
  </si>
  <si>
    <t>Gold 9147</t>
  </si>
  <si>
    <t>A69-9006-9147</t>
  </si>
  <si>
    <t>DROPPED</t>
  </si>
  <si>
    <t>Gold 9171</t>
  </si>
  <si>
    <t>Willow Point</t>
  </si>
  <si>
    <t>A69-9006-9171</t>
  </si>
  <si>
    <t>TAG DROPPED OVERBOARD_not in a fish! REMOVED FROM GLATOS DATABASE</t>
  </si>
  <si>
    <t>Gold 9168</t>
  </si>
  <si>
    <t>Windermere Arm</t>
  </si>
  <si>
    <t>A69-9006-9168</t>
  </si>
  <si>
    <t>Gold 9167</t>
  </si>
  <si>
    <t>LaSalle</t>
  </si>
  <si>
    <t>A69-9006-9167</t>
  </si>
  <si>
    <t>Gold 9170</t>
  </si>
  <si>
    <t>A69-9006-9170</t>
  </si>
  <si>
    <t>Gold 9169</t>
  </si>
  <si>
    <t>HH 44</t>
  </si>
  <si>
    <t>A69-9006-9169</t>
  </si>
  <si>
    <t>Gold 9166</t>
  </si>
  <si>
    <t>A69-9006-9166</t>
  </si>
  <si>
    <t>A69-9006-14167</t>
  </si>
  <si>
    <t>Wall 14168</t>
  </si>
  <si>
    <t>160644 &amp; 160639</t>
  </si>
  <si>
    <t>HH 43B</t>
  </si>
  <si>
    <t>A69-9006-14168</t>
  </si>
  <si>
    <t>Two PIT tags!</t>
  </si>
  <si>
    <t>Gold 9165</t>
  </si>
  <si>
    <t>HH 42B</t>
  </si>
  <si>
    <t>A69-9006-9165</t>
  </si>
  <si>
    <t>Wall 14169</t>
  </si>
  <si>
    <t>HH 34</t>
  </si>
  <si>
    <t>A69-9006-14169</t>
  </si>
  <si>
    <t>Rudd 9164</t>
  </si>
  <si>
    <t>HH 9</t>
  </si>
  <si>
    <t>A69-9006-9164</t>
  </si>
  <si>
    <t>Wall 14171</t>
  </si>
  <si>
    <t>A69-9006-14171</t>
  </si>
  <si>
    <t>Pike 14236</t>
  </si>
  <si>
    <t>HH 38</t>
  </si>
  <si>
    <t>Quite feisty</t>
  </si>
  <si>
    <t>Pike 14170</t>
  </si>
  <si>
    <t>HH 39</t>
  </si>
  <si>
    <t>A69-9006-14170</t>
  </si>
  <si>
    <t>Wall 14244</t>
  </si>
  <si>
    <t>DRAP?</t>
  </si>
  <si>
    <t>Pike 14175</t>
  </si>
  <si>
    <t>Yachtclub</t>
  </si>
  <si>
    <t>A69-9006-14175</t>
  </si>
  <si>
    <t>Marks on face</t>
  </si>
  <si>
    <t>Rudd 9163</t>
  </si>
  <si>
    <t xml:space="preserve">HH 10 </t>
  </si>
  <si>
    <t>A69-9006-9163</t>
  </si>
  <si>
    <t>Wall 14174</t>
  </si>
  <si>
    <t>HH 45</t>
  </si>
  <si>
    <t>A69-9006-14174</t>
  </si>
  <si>
    <t>Wall 12559</t>
  </si>
  <si>
    <t>Bayfront Points</t>
  </si>
  <si>
    <t>A69-9006-12559</t>
  </si>
  <si>
    <t>Wall 12560</t>
  </si>
  <si>
    <t>A69-9006-12560</t>
  </si>
  <si>
    <t>Wall 12561</t>
  </si>
  <si>
    <t>A69-9006-12561</t>
  </si>
  <si>
    <t>SMB</t>
  </si>
  <si>
    <t>Sbas 12562</t>
  </si>
  <si>
    <t>A69-9006-12562</t>
  </si>
  <si>
    <t>Wall 12555</t>
  </si>
  <si>
    <t>MB 1</t>
  </si>
  <si>
    <t>A69-9006-12555</t>
  </si>
  <si>
    <t>Rudd 9162</t>
  </si>
  <si>
    <t>MB 4</t>
  </si>
  <si>
    <t>A69-9006-9162</t>
  </si>
  <si>
    <t>Bowf 14193</t>
  </si>
  <si>
    <t>Christine Boston</t>
  </si>
  <si>
    <t>A69-9006-14193</t>
  </si>
  <si>
    <t>Bowf 14192</t>
  </si>
  <si>
    <t>A69-9006-14192</t>
  </si>
  <si>
    <t>Carp 14518</t>
  </si>
  <si>
    <t>A69-9006-14518</t>
  </si>
  <si>
    <t>Carp 14797</t>
  </si>
  <si>
    <t>A69-9006-14797</t>
  </si>
  <si>
    <t>Gold 14190</t>
  </si>
  <si>
    <t>A69-9006-14190</t>
  </si>
  <si>
    <t>Gold 14191</t>
  </si>
  <si>
    <t>A69-9006-14191</t>
  </si>
  <si>
    <t>Gold 14513</t>
  </si>
  <si>
    <t>A69-9006-14513</t>
  </si>
  <si>
    <t>Bowf 14189</t>
  </si>
  <si>
    <t>A69-9006-14189</t>
  </si>
  <si>
    <t>Gold 14186</t>
  </si>
  <si>
    <t>A69-9006-14186</t>
  </si>
  <si>
    <t>Gold 14187</t>
  </si>
  <si>
    <t>A69-9006-14187</t>
  </si>
  <si>
    <t>Gold 14188</t>
  </si>
  <si>
    <t>A69-9006-14188</t>
  </si>
  <si>
    <t>LMB 14185</t>
  </si>
  <si>
    <t>DR wrap around 2</t>
  </si>
  <si>
    <t>A69-9006-14185</t>
  </si>
  <si>
    <t>LMB 14184</t>
  </si>
  <si>
    <t>A69-9006-14184</t>
  </si>
  <si>
    <t>LMB 14183</t>
  </si>
  <si>
    <t>A69-9006-14183</t>
  </si>
  <si>
    <t>LMB 14182</t>
  </si>
  <si>
    <t>A69-9006-14182</t>
  </si>
  <si>
    <t>LMB 14181</t>
  </si>
  <si>
    <t>A69-9006-14181</t>
  </si>
  <si>
    <t>Pike 14800</t>
  </si>
  <si>
    <t>Police Docks</t>
  </si>
  <si>
    <t>A69-9006-14800</t>
  </si>
  <si>
    <t>Pike 14180</t>
  </si>
  <si>
    <t>A69-9006-14180</t>
  </si>
  <si>
    <t>Pike 14179</t>
  </si>
  <si>
    <t>A69-9006-14179</t>
  </si>
  <si>
    <t>Sbas 14178</t>
  </si>
  <si>
    <t>A69-9006-14178</t>
  </si>
  <si>
    <t>Sarah Larocque</t>
  </si>
  <si>
    <t>A69-9006-12548</t>
  </si>
  <si>
    <t>water temp = 18.8; DO = 9.96; Cond = 589; NTU = 430</t>
  </si>
  <si>
    <t>A69-9006-12546</t>
  </si>
  <si>
    <t>A69-9006-12545</t>
  </si>
  <si>
    <t>Right eye cataract</t>
  </si>
  <si>
    <t>A69-9006-12544</t>
  </si>
  <si>
    <t>Eggs in abdomen - it’s a girl!</t>
  </si>
  <si>
    <t>A69-9006-12552</t>
  </si>
  <si>
    <t>A69-9007</t>
  </si>
  <si>
    <t>A69-9007-13696</t>
  </si>
  <si>
    <t>V9P-2x-BLU-1</t>
  </si>
  <si>
    <t>A69-9007-13677</t>
  </si>
  <si>
    <t>A69-9007-13682</t>
  </si>
  <si>
    <t>A69-9007-13678</t>
  </si>
  <si>
    <t>Calico coloured; fell on ground during processing</t>
  </si>
  <si>
    <t>A69-9007-13679</t>
  </si>
  <si>
    <t>Fell during surgery</t>
  </si>
  <si>
    <t>Tug boat - HH45 Macassa</t>
  </si>
  <si>
    <t>A69-9006-12553</t>
  </si>
  <si>
    <t>water temp = 19.7</t>
  </si>
  <si>
    <t>A69-9006-12550</t>
  </si>
  <si>
    <t>A69-9007-13680</t>
  </si>
  <si>
    <t>A69-9007-13681</t>
  </si>
  <si>
    <t>A69-9007-13686</t>
  </si>
  <si>
    <t>A69-9007-13685</t>
  </si>
  <si>
    <t>Lots of blood during surgery</t>
  </si>
  <si>
    <t>A69-9006-12549</t>
  </si>
  <si>
    <t>A69-9002</t>
  </si>
  <si>
    <t>A69-9002-4488</t>
  </si>
  <si>
    <t>V13P-1x-BLU-1-0034m</t>
  </si>
  <si>
    <t>Small tumours around mouth</t>
  </si>
  <si>
    <t>A69-9007-13687</t>
  </si>
  <si>
    <t>East Islands HH9</t>
  </si>
  <si>
    <t>A69-9002-4489</t>
  </si>
  <si>
    <t>A69-9002-4490</t>
  </si>
  <si>
    <t>A69-9006-9155</t>
  </si>
  <si>
    <t>A69-9006-9149</t>
  </si>
  <si>
    <t>A69-9006-9150</t>
  </si>
  <si>
    <t>A69-9006-9157</t>
  </si>
  <si>
    <t>South of canal, along east</t>
  </si>
  <si>
    <t>A69-9002-4492</t>
  </si>
  <si>
    <t>water temp = 19.16; DO = 8.19; Cond = 615; pH=8.24; NTU=3.16 (but lots of algae)</t>
  </si>
  <si>
    <t>A69-9002-4497</t>
  </si>
  <si>
    <t>A69-9002-4496</t>
  </si>
  <si>
    <t>A69-9002-4495</t>
  </si>
  <si>
    <t>A69-9002-4494</t>
  </si>
  <si>
    <t>A69-9006-9156</t>
  </si>
  <si>
    <t>A69-9006-9153</t>
  </si>
  <si>
    <t>Carols Bay to Willow Point</t>
  </si>
  <si>
    <t>A69-9007-13684</t>
  </si>
  <si>
    <t>Orange colour</t>
  </si>
  <si>
    <t>A69-9007-13683</t>
  </si>
  <si>
    <t>A69-9007-13688</t>
  </si>
  <si>
    <t>A69-9007-13695</t>
  </si>
  <si>
    <t>A69-9002-4491</t>
  </si>
  <si>
    <t>A69-9006-9151</t>
  </si>
  <si>
    <t>A69-9006-9152</t>
  </si>
  <si>
    <t>A69-9007-13689</t>
  </si>
  <si>
    <t>released @ willow pt - sorry!</t>
  </si>
  <si>
    <t>LOST</t>
  </si>
  <si>
    <t>A69-9007-13690</t>
  </si>
  <si>
    <t>pit tag lost - couldn't read it</t>
  </si>
  <si>
    <t>A69-9002-4493</t>
  </si>
  <si>
    <t>dropped on release</t>
  </si>
  <si>
    <t>A69-9007-13691</t>
  </si>
  <si>
    <t>A69-9007-13692</t>
  </si>
  <si>
    <t>99294/160856</t>
  </si>
  <si>
    <t>A69-9002-4498</t>
  </si>
  <si>
    <t>Old tag scar - full healed - was tagged in 2017 old tag now dead. Pit tag in belly and new one in head.</t>
  </si>
  <si>
    <t>A69-9007-13693</t>
  </si>
  <si>
    <t>A69-9007-13694</t>
  </si>
  <si>
    <t>HH4</t>
  </si>
  <si>
    <t>A69-9002-4499</t>
  </si>
  <si>
    <t>HH8</t>
  </si>
  <si>
    <t>A69-9006-9158</t>
  </si>
  <si>
    <t>A69-9006-9159</t>
  </si>
  <si>
    <t>HH9</t>
  </si>
  <si>
    <t>A69-9006-9160</t>
  </si>
  <si>
    <t>A69-1601-25081</t>
  </si>
  <si>
    <t>Near HH4</t>
  </si>
  <si>
    <t>A69-9002-4500</t>
  </si>
  <si>
    <t>A69-9002-4501</t>
  </si>
  <si>
    <t>van Wagner's Pond - Redhill</t>
  </si>
  <si>
    <t>Fyke Net</t>
  </si>
  <si>
    <t>V9TP-2x-BLU-1</t>
  </si>
  <si>
    <t>T</t>
  </si>
  <si>
    <t>-5 to 35</t>
  </si>
  <si>
    <t>-5 to 36</t>
  </si>
  <si>
    <t>Non-orange</t>
  </si>
  <si>
    <t>-5 to 37</t>
  </si>
  <si>
    <t>-5 to 38</t>
  </si>
  <si>
    <t>-5 to 39</t>
  </si>
  <si>
    <t>-5 to 40</t>
  </si>
  <si>
    <t>-5 to 41</t>
  </si>
  <si>
    <t>-5 to 42</t>
  </si>
  <si>
    <t>-5 to 43</t>
  </si>
  <si>
    <t>-5 to 44</t>
  </si>
  <si>
    <t>-5 to 45</t>
  </si>
  <si>
    <t>-5 to 46</t>
  </si>
  <si>
    <t>-5 to 47</t>
  </si>
  <si>
    <t>-5 to 48</t>
  </si>
  <si>
    <t>-5 to 49</t>
  </si>
  <si>
    <t>-5 to 50</t>
  </si>
  <si>
    <t>-5 to 51</t>
  </si>
  <si>
    <t>-5 to 52</t>
  </si>
  <si>
    <t>-5 to 53</t>
  </si>
  <si>
    <t>-5 to 54</t>
  </si>
  <si>
    <t xml:space="preserve">Eastern </t>
  </si>
  <si>
    <t>989.00.10390 58713</t>
  </si>
  <si>
    <t>Nicole Turner</t>
  </si>
  <si>
    <t>Width: 5.0</t>
  </si>
  <si>
    <t>989.00.10390 58714</t>
  </si>
  <si>
    <t>989.00.10390 58699</t>
  </si>
  <si>
    <t>Width: 5.2</t>
  </si>
  <si>
    <t>Width: 5.7</t>
  </si>
  <si>
    <t>989.00.10390 58705</t>
  </si>
  <si>
    <t>989.00.10390 58726</t>
  </si>
  <si>
    <t>989.00.10390 58720</t>
  </si>
  <si>
    <t>989.00.10390 58690</t>
  </si>
  <si>
    <t>989.00.10390 58761</t>
  </si>
  <si>
    <t>989.00.10390 58675</t>
  </si>
  <si>
    <t>989.00.10390 58669</t>
  </si>
  <si>
    <t>989.00.10390 58646</t>
  </si>
  <si>
    <t xml:space="preserve">Paul Bzonek </t>
  </si>
  <si>
    <t>Width: 4.8</t>
  </si>
  <si>
    <t>Width: 5.4</t>
  </si>
  <si>
    <t>Width: 4.9</t>
  </si>
  <si>
    <t>Width: 5.5</t>
  </si>
  <si>
    <t xml:space="preserve">Pit Tag gun issue </t>
  </si>
  <si>
    <t>added pit tag</t>
  </si>
  <si>
    <t>Caught again on 05-01-2024, Fork length: 374 Total length: 411, Width: 6.1</t>
  </si>
  <si>
    <t>989.00.10390 58727</t>
  </si>
  <si>
    <t>989.00.10390 58696</t>
  </si>
  <si>
    <t>989.00.10390 58717</t>
  </si>
  <si>
    <t>989.00.10390 58729</t>
  </si>
  <si>
    <t>989.00.10390 58688</t>
  </si>
  <si>
    <t>989.00.10390 58716</t>
  </si>
  <si>
    <t>989.00.10390 58706</t>
  </si>
  <si>
    <t>989.00.10390 58697</t>
  </si>
  <si>
    <t>989.00.10390 58725</t>
  </si>
  <si>
    <t>989.00.10390 58678</t>
  </si>
  <si>
    <t>Paul Bzonek</t>
  </si>
  <si>
    <t>Width: 55</t>
  </si>
  <si>
    <t>Width: 54</t>
  </si>
  <si>
    <t>Width: 57</t>
  </si>
  <si>
    <t xml:space="preserve">Width: 56, Dropped </t>
  </si>
  <si>
    <t>Width: 53</t>
  </si>
  <si>
    <t>Width: 58</t>
  </si>
  <si>
    <t>Width: 52</t>
  </si>
  <si>
    <t>Width: 59</t>
  </si>
  <si>
    <t xml:space="preserve">Width: 52, Could see Eggs! Gravid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</si>
</sst>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\ hh:mm"/>
    <numFmt numFmtId="165" formatCode="yyyy\-mm\-dd\ hh:mm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16" fontId="0" fillId="0" borderId="0" xfId="0" applyNumberFormat="1"/>
    <xf numFmtId="22" fontId="0" fillId="0" borderId="0" xfId="0" applyNumberFormat="1"/>
    <xf numFmtId="20" fontId="0" fillId="0" borderId="0" xfId="0" applyNumberFormat="1"/>
    <xf numFmtId="0" fontId="0" fillId="2" borderId="0" xfId="0" applyFill="1"/>
    <xf numFmtId="22" fontId="0" fillId="2" borderId="0" xfId="0" applyNumberFormat="1" applyFill="1"/>
    <xf numFmtId="0" fontId="0" fillId="3" borderId="0" xfId="0" applyFill="1"/>
    <xf numFmtId="165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C2370-1D6A-4F27-808B-435BBE9994B3}">
  <sheetPr filterMode="1"/>
  <dimension ref="A1:AP418"/>
  <sheetViews>
    <sheetView tabSelected="1" workbookViewId="0">
      <pane ySplit="1" topLeftCell="A192" activePane="bottomLeft" state="frozen"/>
      <selection activeCell="D1" sqref="D1"/>
      <selection pane="bottomLeft" activeCell="I353" sqref="I353"/>
    </sheetView>
  </sheetViews>
  <sheetFormatPr defaultRowHeight="15" x14ac:dyDescent="0.25"/>
  <cols>
    <col min="5" max="5" width="15.5703125" bestFit="1" customWidth="1"/>
    <col min="6" max="6" width="28.5703125" bestFit="1" customWidth="1"/>
    <col min="7" max="7" width="17.42578125" bestFit="1" customWidth="1"/>
    <col min="8" max="8" width="17.7109375" bestFit="1" customWidth="1"/>
    <col min="9" max="9" width="26.140625" bestFit="1" customWidth="1"/>
    <col min="10" max="10" width="12.85546875" bestFit="1" customWidth="1"/>
    <col min="11" max="11" width="16.42578125" bestFit="1" customWidth="1"/>
    <col min="12" max="12" width="8.85546875" bestFit="1" customWidth="1"/>
    <col min="13" max="13" width="8.140625" bestFit="1" customWidth="1"/>
    <col min="14" max="14" width="17.5703125" bestFit="1" customWidth="1"/>
    <col min="15" max="16" width="13.5703125" bestFit="1" customWidth="1"/>
    <col min="17" max="17" width="10.85546875" bestFit="1" customWidth="1"/>
    <col min="18" max="18" width="7.85546875" bestFit="1" customWidth="1"/>
    <col min="21" max="21" width="15" bestFit="1" customWidth="1"/>
    <col min="22" max="22" width="17.85546875" bestFit="1" customWidth="1"/>
    <col min="23" max="23" width="15.85546875" bestFit="1" customWidth="1"/>
    <col min="24" max="24" width="23.140625" bestFit="1" customWidth="1"/>
    <col min="25" max="25" width="21.140625" bestFit="1" customWidth="1"/>
    <col min="26" max="26" width="31" bestFit="1" customWidth="1"/>
    <col min="28" max="28" width="16.7109375" bestFit="1" customWidth="1"/>
    <col min="29" max="29" width="23.85546875" bestFit="1" customWidth="1"/>
    <col min="30" max="30" width="14.5703125" bestFit="1" customWidth="1"/>
    <col min="31" max="31" width="20.42578125" bestFit="1" customWidth="1"/>
    <col min="38" max="38" width="9.85546875" bestFit="1" customWidth="1"/>
    <col min="39" max="39" width="10.42578125" bestFit="1" customWidth="1"/>
    <col min="40" max="40" width="87.42578125" bestFit="1" customWidth="1"/>
    <col min="42" max="42" width="15.5703125" bestFit="1" customWidth="1"/>
  </cols>
  <sheetData>
    <row r="1" spans="1:4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ht="14.45" hidden="1" customHeight="1" x14ac:dyDescent="0.25">
      <c r="A2" t="s">
        <v>42</v>
      </c>
      <c r="D2" t="s">
        <v>43</v>
      </c>
      <c r="F2" s="1">
        <v>42228.427083333336</v>
      </c>
      <c r="G2" t="s">
        <v>44</v>
      </c>
      <c r="H2" t="s">
        <v>45</v>
      </c>
      <c r="I2" t="s">
        <v>46</v>
      </c>
      <c r="M2" t="s">
        <v>47</v>
      </c>
      <c r="V2" t="s">
        <v>48</v>
      </c>
      <c r="W2" t="s">
        <v>49</v>
      </c>
      <c r="X2" t="s">
        <v>50</v>
      </c>
      <c r="AN2" t="s">
        <v>51</v>
      </c>
    </row>
    <row r="3" spans="1:42" hidden="1" x14ac:dyDescent="0.25">
      <c r="A3" t="s">
        <v>42</v>
      </c>
      <c r="C3" s="2">
        <v>44303</v>
      </c>
      <c r="D3" t="s">
        <v>43</v>
      </c>
      <c r="E3" t="s">
        <v>52</v>
      </c>
      <c r="F3" s="1">
        <v>42228.433333333334</v>
      </c>
      <c r="G3" t="s">
        <v>44</v>
      </c>
      <c r="H3" t="s">
        <v>45</v>
      </c>
      <c r="I3" t="s">
        <v>46</v>
      </c>
      <c r="J3">
        <v>15762</v>
      </c>
      <c r="K3" t="s">
        <v>53</v>
      </c>
      <c r="L3">
        <v>1222934</v>
      </c>
      <c r="M3">
        <v>1848</v>
      </c>
      <c r="O3">
        <v>390</v>
      </c>
      <c r="Q3">
        <v>475</v>
      </c>
      <c r="V3" t="s">
        <v>48</v>
      </c>
      <c r="W3" t="s">
        <v>49</v>
      </c>
      <c r="X3" t="s">
        <v>50</v>
      </c>
      <c r="AA3">
        <v>43.307882999999997</v>
      </c>
      <c r="AB3">
        <v>-79.818617000000003</v>
      </c>
      <c r="AD3" t="s">
        <v>54</v>
      </c>
      <c r="AE3" t="s">
        <v>55</v>
      </c>
      <c r="AF3" t="s">
        <v>56</v>
      </c>
      <c r="AG3">
        <v>34</v>
      </c>
      <c r="AH3">
        <v>0.15160000000000001</v>
      </c>
      <c r="AI3">
        <v>-0.60650000000000004</v>
      </c>
      <c r="AJ3">
        <v>19623</v>
      </c>
      <c r="AK3">
        <v>130</v>
      </c>
      <c r="AL3">
        <v>270</v>
      </c>
      <c r="AM3">
        <v>1386</v>
      </c>
      <c r="AP3" s="3">
        <v>43614.433333333334</v>
      </c>
    </row>
    <row r="4" spans="1:42" hidden="1" x14ac:dyDescent="0.25">
      <c r="A4" t="s">
        <v>42</v>
      </c>
      <c r="C4" s="2">
        <v>44333</v>
      </c>
      <c r="D4" t="s">
        <v>43</v>
      </c>
      <c r="E4" t="s">
        <v>57</v>
      </c>
      <c r="F4" s="1">
        <v>42228.440972222219</v>
      </c>
      <c r="G4" t="s">
        <v>44</v>
      </c>
      <c r="H4" t="s">
        <v>45</v>
      </c>
      <c r="I4" t="s">
        <v>46</v>
      </c>
      <c r="J4">
        <v>15751</v>
      </c>
      <c r="K4" t="s">
        <v>53</v>
      </c>
      <c r="L4">
        <v>1222923</v>
      </c>
      <c r="M4">
        <v>1847</v>
      </c>
      <c r="O4">
        <v>395</v>
      </c>
      <c r="Q4">
        <v>485</v>
      </c>
      <c r="V4" t="s">
        <v>48</v>
      </c>
      <c r="W4" t="s">
        <v>49</v>
      </c>
      <c r="X4" t="s">
        <v>50</v>
      </c>
      <c r="AA4">
        <v>43.307882999999997</v>
      </c>
      <c r="AB4">
        <v>-79.818617000000003</v>
      </c>
      <c r="AD4" t="s">
        <v>58</v>
      </c>
      <c r="AE4" t="s">
        <v>55</v>
      </c>
      <c r="AF4" t="s">
        <v>56</v>
      </c>
      <c r="AG4">
        <v>34</v>
      </c>
      <c r="AH4">
        <v>0.15160000000000001</v>
      </c>
      <c r="AI4">
        <v>-0.60650000000000004</v>
      </c>
      <c r="AJ4">
        <v>19623</v>
      </c>
      <c r="AK4">
        <v>130</v>
      </c>
      <c r="AL4">
        <v>270</v>
      </c>
      <c r="AM4">
        <v>1386</v>
      </c>
      <c r="AP4" s="3">
        <v>43614.440972222219</v>
      </c>
    </row>
    <row r="5" spans="1:42" hidden="1" x14ac:dyDescent="0.25">
      <c r="A5" t="s">
        <v>59</v>
      </c>
      <c r="D5" t="s">
        <v>43</v>
      </c>
      <c r="E5" t="s">
        <v>60</v>
      </c>
      <c r="F5" s="1">
        <v>42228.446527777778</v>
      </c>
      <c r="G5" t="s">
        <v>44</v>
      </c>
      <c r="H5" t="s">
        <v>45</v>
      </c>
      <c r="I5" t="s">
        <v>46</v>
      </c>
      <c r="J5">
        <v>15758</v>
      </c>
      <c r="K5" t="s">
        <v>53</v>
      </c>
      <c r="L5">
        <v>1222930</v>
      </c>
      <c r="M5">
        <v>1846</v>
      </c>
      <c r="O5">
        <v>395</v>
      </c>
      <c r="Q5">
        <v>481</v>
      </c>
      <c r="V5" t="s">
        <v>48</v>
      </c>
      <c r="W5" t="s">
        <v>49</v>
      </c>
      <c r="X5" t="s">
        <v>50</v>
      </c>
      <c r="AA5">
        <v>43.307882999999997</v>
      </c>
      <c r="AB5">
        <v>-79.818617000000003</v>
      </c>
      <c r="AD5" t="s">
        <v>61</v>
      </c>
      <c r="AE5" t="s">
        <v>55</v>
      </c>
      <c r="AF5" t="s">
        <v>56</v>
      </c>
      <c r="AG5">
        <v>34</v>
      </c>
      <c r="AH5">
        <v>0.15160000000000001</v>
      </c>
      <c r="AI5">
        <v>-0.60650000000000004</v>
      </c>
      <c r="AJ5">
        <v>19623</v>
      </c>
      <c r="AK5">
        <v>130</v>
      </c>
      <c r="AL5">
        <v>270</v>
      </c>
      <c r="AM5">
        <v>1386</v>
      </c>
      <c r="AP5" s="3">
        <v>43614.446527777778</v>
      </c>
    </row>
    <row r="6" spans="1:42" hidden="1" x14ac:dyDescent="0.25">
      <c r="A6" t="s">
        <v>59</v>
      </c>
      <c r="D6" t="s">
        <v>43</v>
      </c>
      <c r="E6" t="s">
        <v>62</v>
      </c>
      <c r="F6" s="1">
        <v>42228.451388888891</v>
      </c>
      <c r="G6" t="s">
        <v>44</v>
      </c>
      <c r="H6" t="s">
        <v>45</v>
      </c>
      <c r="I6" t="s">
        <v>46</v>
      </c>
      <c r="J6">
        <v>15752</v>
      </c>
      <c r="K6" t="s">
        <v>53</v>
      </c>
      <c r="L6">
        <v>1222924</v>
      </c>
      <c r="M6">
        <v>1845</v>
      </c>
      <c r="O6">
        <v>450</v>
      </c>
      <c r="Q6">
        <v>560</v>
      </c>
      <c r="V6" t="s">
        <v>48</v>
      </c>
      <c r="W6" t="s">
        <v>49</v>
      </c>
      <c r="X6" t="s">
        <v>50</v>
      </c>
      <c r="AA6">
        <v>43.308030000000002</v>
      </c>
      <c r="AB6">
        <v>-79.818617000000003</v>
      </c>
      <c r="AD6" t="s">
        <v>63</v>
      </c>
      <c r="AE6" t="s">
        <v>55</v>
      </c>
      <c r="AF6" t="s">
        <v>56</v>
      </c>
      <c r="AG6">
        <v>34</v>
      </c>
      <c r="AH6">
        <v>0.15160000000000001</v>
      </c>
      <c r="AI6">
        <v>-0.60650000000000004</v>
      </c>
      <c r="AJ6">
        <v>19623</v>
      </c>
      <c r="AK6">
        <v>130</v>
      </c>
      <c r="AL6">
        <v>270</v>
      </c>
      <c r="AM6">
        <v>1386</v>
      </c>
      <c r="AP6" s="3">
        <v>43614.451388888891</v>
      </c>
    </row>
    <row r="7" spans="1:42" ht="14.45" hidden="1" customHeight="1" x14ac:dyDescent="0.25">
      <c r="A7" t="s">
        <v>42</v>
      </c>
      <c r="D7" t="s">
        <v>43</v>
      </c>
      <c r="F7" s="1">
        <v>42228.459027777775</v>
      </c>
      <c r="G7" t="s">
        <v>44</v>
      </c>
      <c r="H7" t="s">
        <v>45</v>
      </c>
      <c r="I7" t="s">
        <v>46</v>
      </c>
      <c r="M7" t="s">
        <v>47</v>
      </c>
      <c r="V7" t="s">
        <v>48</v>
      </c>
      <c r="W7" t="s">
        <v>49</v>
      </c>
      <c r="X7" t="s">
        <v>50</v>
      </c>
      <c r="AN7" t="s">
        <v>64</v>
      </c>
    </row>
    <row r="8" spans="1:42" hidden="1" x14ac:dyDescent="0.25">
      <c r="A8" t="s">
        <v>65</v>
      </c>
      <c r="C8" t="s">
        <v>66</v>
      </c>
      <c r="D8" t="s">
        <v>43</v>
      </c>
      <c r="E8" t="s">
        <v>67</v>
      </c>
      <c r="F8" s="1">
        <v>42228.467361111114</v>
      </c>
      <c r="G8" t="s">
        <v>44</v>
      </c>
      <c r="H8" t="s">
        <v>45</v>
      </c>
      <c r="I8" t="s">
        <v>46</v>
      </c>
      <c r="J8">
        <v>15754</v>
      </c>
      <c r="K8" t="s">
        <v>53</v>
      </c>
      <c r="L8">
        <v>1222926</v>
      </c>
      <c r="M8">
        <v>1842</v>
      </c>
      <c r="O8">
        <v>430</v>
      </c>
      <c r="Q8">
        <v>521</v>
      </c>
      <c r="V8" t="s">
        <v>48</v>
      </c>
      <c r="W8" t="s">
        <v>49</v>
      </c>
      <c r="X8" t="s">
        <v>50</v>
      </c>
      <c r="AA8">
        <v>43.309066999999999</v>
      </c>
      <c r="AB8">
        <v>-79.816699999999997</v>
      </c>
      <c r="AD8" t="s">
        <v>68</v>
      </c>
      <c r="AE8" t="s">
        <v>55</v>
      </c>
      <c r="AF8" t="s">
        <v>56</v>
      </c>
      <c r="AG8">
        <v>34</v>
      </c>
      <c r="AH8">
        <v>0.15160000000000001</v>
      </c>
      <c r="AI8">
        <v>-0.60650000000000004</v>
      </c>
      <c r="AJ8">
        <v>19623</v>
      </c>
      <c r="AK8">
        <v>130</v>
      </c>
      <c r="AL8">
        <v>270</v>
      </c>
      <c r="AM8">
        <v>1386</v>
      </c>
      <c r="AP8" s="3">
        <v>43614.467361111114</v>
      </c>
    </row>
    <row r="9" spans="1:42" hidden="1" x14ac:dyDescent="0.25">
      <c r="A9" t="s">
        <v>59</v>
      </c>
      <c r="D9" t="s">
        <v>43</v>
      </c>
      <c r="E9" t="s">
        <v>69</v>
      </c>
      <c r="F9" s="1">
        <v>42228.484027777777</v>
      </c>
      <c r="G9" t="s">
        <v>44</v>
      </c>
      <c r="H9" t="s">
        <v>45</v>
      </c>
      <c r="I9" t="s">
        <v>46</v>
      </c>
      <c r="J9">
        <v>15755</v>
      </c>
      <c r="K9" t="s">
        <v>53</v>
      </c>
      <c r="L9">
        <v>1222927</v>
      </c>
      <c r="M9">
        <v>1841</v>
      </c>
      <c r="O9">
        <v>395</v>
      </c>
      <c r="Q9">
        <v>490</v>
      </c>
      <c r="V9" t="s">
        <v>48</v>
      </c>
      <c r="W9" t="s">
        <v>49</v>
      </c>
      <c r="X9" t="s">
        <v>50</v>
      </c>
      <c r="AA9">
        <v>43.311732999999997</v>
      </c>
      <c r="AB9">
        <v>-79.814633000000001</v>
      </c>
      <c r="AD9" t="s">
        <v>70</v>
      </c>
      <c r="AE9" t="s">
        <v>55</v>
      </c>
      <c r="AF9" t="s">
        <v>56</v>
      </c>
      <c r="AG9">
        <v>34</v>
      </c>
      <c r="AH9">
        <v>0.15160000000000001</v>
      </c>
      <c r="AI9">
        <v>-0.60650000000000004</v>
      </c>
      <c r="AJ9">
        <v>19623</v>
      </c>
      <c r="AK9">
        <v>130</v>
      </c>
      <c r="AL9">
        <v>270</v>
      </c>
      <c r="AM9">
        <v>1386</v>
      </c>
      <c r="AP9" s="3">
        <v>43614.484027777777</v>
      </c>
    </row>
    <row r="10" spans="1:42" ht="14.45" hidden="1" customHeight="1" x14ac:dyDescent="0.25">
      <c r="A10" t="s">
        <v>42</v>
      </c>
      <c r="D10" t="s">
        <v>43</v>
      </c>
      <c r="F10" s="1">
        <v>42228.493055555555</v>
      </c>
      <c r="G10" t="s">
        <v>44</v>
      </c>
      <c r="H10" t="s">
        <v>45</v>
      </c>
      <c r="I10" t="s">
        <v>46</v>
      </c>
      <c r="M10" t="s">
        <v>47</v>
      </c>
      <c r="V10" t="s">
        <v>48</v>
      </c>
      <c r="W10" t="s">
        <v>49</v>
      </c>
      <c r="X10" t="s">
        <v>50</v>
      </c>
      <c r="AN10" t="s">
        <v>71</v>
      </c>
    </row>
    <row r="11" spans="1:42" hidden="1" x14ac:dyDescent="0.25">
      <c r="A11" t="s">
        <v>59</v>
      </c>
      <c r="D11" t="s">
        <v>43</v>
      </c>
      <c r="E11" t="s">
        <v>72</v>
      </c>
      <c r="F11" s="1">
        <v>42228.513888888891</v>
      </c>
      <c r="G11" t="s">
        <v>44</v>
      </c>
      <c r="H11" t="s">
        <v>45</v>
      </c>
      <c r="I11" t="s">
        <v>46</v>
      </c>
      <c r="J11">
        <v>15750</v>
      </c>
      <c r="K11" t="s">
        <v>53</v>
      </c>
      <c r="L11">
        <v>1222922</v>
      </c>
      <c r="M11">
        <v>1839</v>
      </c>
      <c r="O11">
        <v>444</v>
      </c>
      <c r="Q11">
        <v>520</v>
      </c>
      <c r="V11" t="s">
        <v>48</v>
      </c>
      <c r="W11" t="s">
        <v>49</v>
      </c>
      <c r="X11" t="s">
        <v>50</v>
      </c>
      <c r="AA11">
        <v>43.311100000000003</v>
      </c>
      <c r="AB11">
        <v>-79.812569999999994</v>
      </c>
      <c r="AD11" t="s">
        <v>73</v>
      </c>
      <c r="AE11" t="s">
        <v>55</v>
      </c>
      <c r="AF11" t="s">
        <v>56</v>
      </c>
      <c r="AG11">
        <v>34</v>
      </c>
      <c r="AH11">
        <v>0.15160000000000001</v>
      </c>
      <c r="AI11">
        <v>-0.60650000000000004</v>
      </c>
      <c r="AJ11">
        <v>19623</v>
      </c>
      <c r="AK11">
        <v>130</v>
      </c>
      <c r="AL11">
        <v>270</v>
      </c>
      <c r="AM11">
        <v>1386</v>
      </c>
      <c r="AP11" s="3">
        <v>43614.513888888891</v>
      </c>
    </row>
    <row r="12" spans="1:42" hidden="1" x14ac:dyDescent="0.25">
      <c r="A12" t="s">
        <v>65</v>
      </c>
      <c r="C12" t="s">
        <v>74</v>
      </c>
      <c r="D12" t="s">
        <v>43</v>
      </c>
      <c r="E12" t="s">
        <v>75</v>
      </c>
      <c r="F12" s="1">
        <v>42228.518750000003</v>
      </c>
      <c r="G12" t="s">
        <v>44</v>
      </c>
      <c r="H12" t="s">
        <v>45</v>
      </c>
      <c r="I12" t="s">
        <v>46</v>
      </c>
      <c r="J12">
        <v>15753</v>
      </c>
      <c r="K12" t="s">
        <v>53</v>
      </c>
      <c r="L12">
        <v>1222925</v>
      </c>
      <c r="M12">
        <v>1700</v>
      </c>
      <c r="O12">
        <v>425</v>
      </c>
      <c r="Q12">
        <v>510</v>
      </c>
      <c r="V12" t="s">
        <v>48</v>
      </c>
      <c r="W12" t="s">
        <v>49</v>
      </c>
      <c r="X12" t="s">
        <v>50</v>
      </c>
      <c r="AA12">
        <v>43.311100000000003</v>
      </c>
      <c r="AB12">
        <v>-79.812569999999994</v>
      </c>
      <c r="AD12" t="s">
        <v>76</v>
      </c>
      <c r="AE12" t="s">
        <v>55</v>
      </c>
      <c r="AF12" t="s">
        <v>56</v>
      </c>
      <c r="AG12">
        <v>34</v>
      </c>
      <c r="AH12">
        <v>0.15160000000000001</v>
      </c>
      <c r="AI12">
        <v>-0.60650000000000004</v>
      </c>
      <c r="AJ12">
        <v>19623</v>
      </c>
      <c r="AK12">
        <v>130</v>
      </c>
      <c r="AL12">
        <v>270</v>
      </c>
      <c r="AM12">
        <v>1386</v>
      </c>
      <c r="AP12" s="3">
        <v>43614.518750000003</v>
      </c>
    </row>
    <row r="13" spans="1:42" hidden="1" x14ac:dyDescent="0.25">
      <c r="A13" t="s">
        <v>59</v>
      </c>
      <c r="D13" t="s">
        <v>43</v>
      </c>
      <c r="E13" t="s">
        <v>77</v>
      </c>
      <c r="F13" s="1">
        <v>42229.371527777781</v>
      </c>
      <c r="G13" t="s">
        <v>44</v>
      </c>
      <c r="H13" t="s">
        <v>45</v>
      </c>
      <c r="I13" t="s">
        <v>46</v>
      </c>
      <c r="J13">
        <v>15761</v>
      </c>
      <c r="K13" t="s">
        <v>53</v>
      </c>
      <c r="L13">
        <v>1222933</v>
      </c>
      <c r="M13">
        <v>1699</v>
      </c>
      <c r="O13">
        <v>390</v>
      </c>
      <c r="P13">
        <v>460</v>
      </c>
      <c r="Q13">
        <v>485</v>
      </c>
      <c r="V13" t="s">
        <v>48</v>
      </c>
      <c r="W13" t="s">
        <v>49</v>
      </c>
      <c r="X13" t="s">
        <v>50</v>
      </c>
      <c r="AA13">
        <v>43.307267000000003</v>
      </c>
      <c r="AB13">
        <v>-79.805582999999999</v>
      </c>
      <c r="AD13" t="s">
        <v>78</v>
      </c>
      <c r="AE13" t="s">
        <v>55</v>
      </c>
      <c r="AF13" t="s">
        <v>56</v>
      </c>
      <c r="AG13">
        <v>34</v>
      </c>
      <c r="AH13">
        <v>0.15160000000000001</v>
      </c>
      <c r="AI13">
        <v>-0.60650000000000004</v>
      </c>
      <c r="AJ13">
        <v>19623</v>
      </c>
      <c r="AK13">
        <v>130</v>
      </c>
      <c r="AL13">
        <v>270</v>
      </c>
      <c r="AM13">
        <v>1386</v>
      </c>
      <c r="AP13" s="3">
        <v>43615.371527777781</v>
      </c>
    </row>
    <row r="14" spans="1:42" hidden="1" x14ac:dyDescent="0.25">
      <c r="A14" t="s">
        <v>65</v>
      </c>
      <c r="C14" t="s">
        <v>79</v>
      </c>
      <c r="D14" t="s">
        <v>43</v>
      </c>
      <c r="E14" t="s">
        <v>80</v>
      </c>
      <c r="F14" s="1">
        <v>42229.386111111111</v>
      </c>
      <c r="G14" t="s">
        <v>44</v>
      </c>
      <c r="H14" t="s">
        <v>45</v>
      </c>
      <c r="I14" t="s">
        <v>46</v>
      </c>
      <c r="J14">
        <v>15760</v>
      </c>
      <c r="K14" t="s">
        <v>53</v>
      </c>
      <c r="L14">
        <v>1222932</v>
      </c>
      <c r="M14">
        <v>1696</v>
      </c>
      <c r="O14">
        <v>415</v>
      </c>
      <c r="P14">
        <v>501</v>
      </c>
      <c r="Q14">
        <v>512</v>
      </c>
      <c r="V14" t="s">
        <v>48</v>
      </c>
      <c r="W14" t="s">
        <v>49</v>
      </c>
      <c r="X14" t="s">
        <v>50</v>
      </c>
      <c r="AA14">
        <v>43.304082999999999</v>
      </c>
      <c r="AB14">
        <v>-79.804299999999998</v>
      </c>
      <c r="AD14" t="s">
        <v>81</v>
      </c>
      <c r="AE14" t="s">
        <v>55</v>
      </c>
      <c r="AF14" t="s">
        <v>56</v>
      </c>
      <c r="AG14">
        <v>34</v>
      </c>
      <c r="AH14">
        <v>0.15160000000000001</v>
      </c>
      <c r="AI14">
        <v>-0.60650000000000004</v>
      </c>
      <c r="AJ14">
        <v>19623</v>
      </c>
      <c r="AK14">
        <v>130</v>
      </c>
      <c r="AL14">
        <v>270</v>
      </c>
      <c r="AM14">
        <v>1386</v>
      </c>
      <c r="AN14" t="s">
        <v>82</v>
      </c>
      <c r="AP14" s="3">
        <v>43615.386111111111</v>
      </c>
    </row>
    <row r="15" spans="1:42" hidden="1" x14ac:dyDescent="0.25">
      <c r="A15" t="s">
        <v>83</v>
      </c>
      <c r="C15" s="2">
        <v>44516</v>
      </c>
      <c r="D15" t="s">
        <v>43</v>
      </c>
      <c r="E15" t="s">
        <v>84</v>
      </c>
      <c r="F15" s="1">
        <v>42229.386111111111</v>
      </c>
      <c r="G15" t="s">
        <v>44</v>
      </c>
      <c r="H15" t="s">
        <v>45</v>
      </c>
      <c r="I15" t="s">
        <v>46</v>
      </c>
      <c r="J15">
        <v>15766</v>
      </c>
      <c r="K15" t="s">
        <v>53</v>
      </c>
      <c r="L15">
        <v>1222938</v>
      </c>
      <c r="M15">
        <v>1695</v>
      </c>
      <c r="O15">
        <v>360</v>
      </c>
      <c r="P15">
        <v>415</v>
      </c>
      <c r="Q15">
        <v>430</v>
      </c>
      <c r="V15" t="s">
        <v>48</v>
      </c>
      <c r="W15" t="s">
        <v>49</v>
      </c>
      <c r="X15" t="s">
        <v>50</v>
      </c>
      <c r="AA15">
        <v>43.304082999999999</v>
      </c>
      <c r="AB15">
        <v>-79.804299999999998</v>
      </c>
      <c r="AD15" t="s">
        <v>85</v>
      </c>
      <c r="AE15" t="s">
        <v>55</v>
      </c>
      <c r="AF15" t="s">
        <v>56</v>
      </c>
      <c r="AG15">
        <v>34</v>
      </c>
      <c r="AH15">
        <v>0.15160000000000001</v>
      </c>
      <c r="AI15">
        <v>-0.60650000000000004</v>
      </c>
      <c r="AJ15">
        <v>19623</v>
      </c>
      <c r="AK15">
        <v>130</v>
      </c>
      <c r="AL15">
        <v>270</v>
      </c>
      <c r="AM15">
        <v>1386</v>
      </c>
      <c r="AP15" s="3">
        <v>43615.386111111111</v>
      </c>
    </row>
    <row r="16" spans="1:42" hidden="1" x14ac:dyDescent="0.25">
      <c r="A16" t="s">
        <v>65</v>
      </c>
      <c r="C16" t="s">
        <v>74</v>
      </c>
      <c r="D16" t="s">
        <v>43</v>
      </c>
      <c r="E16" t="s">
        <v>86</v>
      </c>
      <c r="F16" s="1">
        <v>42229.386111111111</v>
      </c>
      <c r="G16" t="s">
        <v>44</v>
      </c>
      <c r="H16" t="s">
        <v>45</v>
      </c>
      <c r="I16" t="s">
        <v>46</v>
      </c>
      <c r="J16">
        <v>15768</v>
      </c>
      <c r="K16" t="s">
        <v>53</v>
      </c>
      <c r="L16">
        <v>1222940</v>
      </c>
      <c r="M16">
        <v>1698</v>
      </c>
      <c r="O16">
        <v>534</v>
      </c>
      <c r="V16" t="s">
        <v>48</v>
      </c>
      <c r="W16" t="s">
        <v>49</v>
      </c>
      <c r="X16" t="s">
        <v>50</v>
      </c>
      <c r="AA16">
        <v>43.304082999999999</v>
      </c>
      <c r="AB16">
        <v>-79.804299999999998</v>
      </c>
      <c r="AD16" t="s">
        <v>87</v>
      </c>
      <c r="AE16" t="s">
        <v>55</v>
      </c>
      <c r="AF16" t="s">
        <v>56</v>
      </c>
      <c r="AG16">
        <v>34</v>
      </c>
      <c r="AH16">
        <v>0.15160000000000001</v>
      </c>
      <c r="AI16">
        <v>-0.60650000000000004</v>
      </c>
      <c r="AJ16">
        <v>19623</v>
      </c>
      <c r="AK16">
        <v>130</v>
      </c>
      <c r="AL16">
        <v>270</v>
      </c>
      <c r="AM16">
        <v>1386</v>
      </c>
      <c r="AN16" t="s">
        <v>88</v>
      </c>
      <c r="AP16" s="3">
        <v>43615.386111111111</v>
      </c>
    </row>
    <row r="17" spans="1:42" hidden="1" x14ac:dyDescent="0.25">
      <c r="A17" t="s">
        <v>65</v>
      </c>
      <c r="C17" t="s">
        <v>74</v>
      </c>
      <c r="D17" t="s">
        <v>43</v>
      </c>
      <c r="E17" t="s">
        <v>89</v>
      </c>
      <c r="F17" s="1">
        <v>42229.386111111111</v>
      </c>
      <c r="G17" t="s">
        <v>44</v>
      </c>
      <c r="H17" t="s">
        <v>45</v>
      </c>
      <c r="I17" t="s">
        <v>46</v>
      </c>
      <c r="J17">
        <v>15769</v>
      </c>
      <c r="K17" t="s">
        <v>53</v>
      </c>
      <c r="L17">
        <v>1222941</v>
      </c>
      <c r="M17">
        <v>1697</v>
      </c>
      <c r="O17">
        <v>425</v>
      </c>
      <c r="P17">
        <v>500</v>
      </c>
      <c r="Q17">
        <v>513</v>
      </c>
      <c r="V17" t="s">
        <v>48</v>
      </c>
      <c r="W17" t="s">
        <v>49</v>
      </c>
      <c r="X17" t="s">
        <v>50</v>
      </c>
      <c r="AA17">
        <v>43.304082999999999</v>
      </c>
      <c r="AB17">
        <v>-79.804299999999998</v>
      </c>
      <c r="AD17" t="s">
        <v>90</v>
      </c>
      <c r="AE17" t="s">
        <v>55</v>
      </c>
      <c r="AF17" t="s">
        <v>56</v>
      </c>
      <c r="AG17">
        <v>34</v>
      </c>
      <c r="AH17">
        <v>0.15160000000000001</v>
      </c>
      <c r="AI17">
        <v>-0.60650000000000004</v>
      </c>
      <c r="AJ17">
        <v>19623</v>
      </c>
      <c r="AK17">
        <v>130</v>
      </c>
      <c r="AL17">
        <v>270</v>
      </c>
      <c r="AM17">
        <v>1386</v>
      </c>
      <c r="AP17" s="3">
        <v>43615.386111111111</v>
      </c>
    </row>
    <row r="18" spans="1:42" hidden="1" x14ac:dyDescent="0.25">
      <c r="A18" t="s">
        <v>91</v>
      </c>
      <c r="C18" t="s">
        <v>92</v>
      </c>
      <c r="D18" t="s">
        <v>43</v>
      </c>
      <c r="E18" t="s">
        <v>93</v>
      </c>
      <c r="F18" s="1">
        <v>42229.411805555559</v>
      </c>
      <c r="G18" t="s">
        <v>44</v>
      </c>
      <c r="H18" t="s">
        <v>45</v>
      </c>
      <c r="I18" t="s">
        <v>46</v>
      </c>
      <c r="J18">
        <v>15756</v>
      </c>
      <c r="K18" t="s">
        <v>53</v>
      </c>
      <c r="L18">
        <v>1222928</v>
      </c>
      <c r="M18">
        <v>1694</v>
      </c>
      <c r="O18">
        <v>570</v>
      </c>
      <c r="P18">
        <v>613</v>
      </c>
      <c r="Q18">
        <v>700</v>
      </c>
      <c r="V18" t="s">
        <v>48</v>
      </c>
      <c r="W18" t="s">
        <v>49</v>
      </c>
      <c r="X18" t="s">
        <v>50</v>
      </c>
      <c r="AA18">
        <v>43.301467000000002</v>
      </c>
      <c r="AB18">
        <v>-79.802149999999997</v>
      </c>
      <c r="AD18" t="s">
        <v>94</v>
      </c>
      <c r="AE18" t="s">
        <v>55</v>
      </c>
      <c r="AF18" t="s">
        <v>56</v>
      </c>
      <c r="AG18">
        <v>34</v>
      </c>
      <c r="AH18">
        <v>0.15160000000000001</v>
      </c>
      <c r="AI18">
        <v>-0.60650000000000004</v>
      </c>
      <c r="AJ18">
        <v>19623</v>
      </c>
      <c r="AK18">
        <v>130</v>
      </c>
      <c r="AL18">
        <v>270</v>
      </c>
      <c r="AM18">
        <v>1386</v>
      </c>
      <c r="AN18" t="s">
        <v>95</v>
      </c>
      <c r="AP18" s="3">
        <v>43615.411805555559</v>
      </c>
    </row>
    <row r="19" spans="1:42" hidden="1" x14ac:dyDescent="0.25">
      <c r="A19" t="s">
        <v>59</v>
      </c>
      <c r="D19" t="s">
        <v>43</v>
      </c>
      <c r="E19" t="s">
        <v>96</v>
      </c>
      <c r="F19" s="1">
        <v>42229.415277777778</v>
      </c>
      <c r="G19" t="s">
        <v>44</v>
      </c>
      <c r="H19" t="s">
        <v>45</v>
      </c>
      <c r="I19" t="s">
        <v>46</v>
      </c>
      <c r="J19">
        <v>15759</v>
      </c>
      <c r="K19" t="s">
        <v>53</v>
      </c>
      <c r="L19">
        <v>1222931</v>
      </c>
      <c r="M19">
        <v>1693</v>
      </c>
      <c r="O19">
        <v>410</v>
      </c>
      <c r="P19">
        <v>460</v>
      </c>
      <c r="Q19">
        <v>471</v>
      </c>
      <c r="V19" t="s">
        <v>48</v>
      </c>
      <c r="W19" t="s">
        <v>49</v>
      </c>
      <c r="X19" t="s">
        <v>50</v>
      </c>
      <c r="AA19">
        <v>43.301467000000002</v>
      </c>
      <c r="AB19">
        <v>-79.802149999999997</v>
      </c>
      <c r="AD19" t="s">
        <v>97</v>
      </c>
      <c r="AE19" t="s">
        <v>55</v>
      </c>
      <c r="AF19" t="s">
        <v>56</v>
      </c>
      <c r="AG19">
        <v>34</v>
      </c>
      <c r="AH19">
        <v>0.15160000000000001</v>
      </c>
      <c r="AI19">
        <v>-0.60650000000000004</v>
      </c>
      <c r="AJ19">
        <v>19623</v>
      </c>
      <c r="AK19">
        <v>130</v>
      </c>
      <c r="AL19">
        <v>270</v>
      </c>
      <c r="AM19">
        <v>1386</v>
      </c>
      <c r="AP19" s="3">
        <v>43615.415277777778</v>
      </c>
    </row>
    <row r="20" spans="1:42" hidden="1" x14ac:dyDescent="0.25">
      <c r="A20" t="s">
        <v>59</v>
      </c>
      <c r="D20" t="s">
        <v>43</v>
      </c>
      <c r="E20" t="s">
        <v>98</v>
      </c>
      <c r="F20" s="1">
        <v>42229.423611111109</v>
      </c>
      <c r="G20" t="s">
        <v>44</v>
      </c>
      <c r="H20" t="s">
        <v>45</v>
      </c>
      <c r="I20" t="s">
        <v>46</v>
      </c>
      <c r="J20">
        <v>15767</v>
      </c>
      <c r="K20" t="s">
        <v>53</v>
      </c>
      <c r="L20">
        <v>1222939</v>
      </c>
      <c r="M20">
        <v>1692</v>
      </c>
      <c r="O20">
        <v>420</v>
      </c>
      <c r="P20">
        <v>485</v>
      </c>
      <c r="Q20">
        <v>505</v>
      </c>
      <c r="V20" t="s">
        <v>48</v>
      </c>
      <c r="W20" t="s">
        <v>49</v>
      </c>
      <c r="X20" t="s">
        <v>50</v>
      </c>
      <c r="AA20">
        <v>43.301467000000002</v>
      </c>
      <c r="AB20">
        <v>-79.802149999999997</v>
      </c>
      <c r="AD20" t="s">
        <v>99</v>
      </c>
      <c r="AE20" t="s">
        <v>55</v>
      </c>
      <c r="AF20" t="s">
        <v>56</v>
      </c>
      <c r="AG20">
        <v>34</v>
      </c>
      <c r="AH20">
        <v>0.15160000000000001</v>
      </c>
      <c r="AI20">
        <v>-0.60650000000000004</v>
      </c>
      <c r="AJ20">
        <v>19623</v>
      </c>
      <c r="AK20">
        <v>130</v>
      </c>
      <c r="AL20">
        <v>270</v>
      </c>
      <c r="AM20">
        <v>1386</v>
      </c>
      <c r="AP20" s="3">
        <v>43615.423611111109</v>
      </c>
    </row>
    <row r="21" spans="1:42" hidden="1" x14ac:dyDescent="0.25">
      <c r="A21" t="s">
        <v>65</v>
      </c>
      <c r="C21" t="s">
        <v>74</v>
      </c>
      <c r="D21" t="s">
        <v>43</v>
      </c>
      <c r="E21" t="s">
        <v>100</v>
      </c>
      <c r="F21" s="1">
        <v>42229.429861111108</v>
      </c>
      <c r="G21" t="s">
        <v>44</v>
      </c>
      <c r="H21" t="s">
        <v>45</v>
      </c>
      <c r="I21" t="s">
        <v>46</v>
      </c>
      <c r="J21">
        <v>15757</v>
      </c>
      <c r="K21" t="s">
        <v>53</v>
      </c>
      <c r="L21">
        <v>1222929</v>
      </c>
      <c r="M21">
        <v>1691</v>
      </c>
      <c r="O21">
        <v>395</v>
      </c>
      <c r="P21">
        <v>470</v>
      </c>
      <c r="Q21">
        <v>495</v>
      </c>
      <c r="V21" t="s">
        <v>48</v>
      </c>
      <c r="W21" t="s">
        <v>49</v>
      </c>
      <c r="X21" t="s">
        <v>50</v>
      </c>
      <c r="AA21">
        <v>43.301467000000002</v>
      </c>
      <c r="AB21">
        <v>-79.802149999999997</v>
      </c>
      <c r="AD21" t="s">
        <v>101</v>
      </c>
      <c r="AE21" t="s">
        <v>55</v>
      </c>
      <c r="AF21" t="s">
        <v>56</v>
      </c>
      <c r="AG21">
        <v>34</v>
      </c>
      <c r="AH21">
        <v>0.15160000000000001</v>
      </c>
      <c r="AI21">
        <v>-0.60650000000000004</v>
      </c>
      <c r="AJ21">
        <v>19623</v>
      </c>
      <c r="AK21">
        <v>130</v>
      </c>
      <c r="AL21">
        <v>270</v>
      </c>
      <c r="AM21">
        <v>1386</v>
      </c>
      <c r="AP21" s="3">
        <v>43615.429861111108</v>
      </c>
    </row>
    <row r="22" spans="1:42" hidden="1" x14ac:dyDescent="0.25">
      <c r="A22" t="s">
        <v>59</v>
      </c>
      <c r="D22" t="s">
        <v>43</v>
      </c>
      <c r="E22" t="s">
        <v>102</v>
      </c>
      <c r="F22" s="1">
        <v>42297.559027777781</v>
      </c>
      <c r="G22" t="s">
        <v>44</v>
      </c>
      <c r="H22" t="s">
        <v>45</v>
      </c>
      <c r="I22" t="s">
        <v>46</v>
      </c>
      <c r="J22">
        <v>15771</v>
      </c>
      <c r="K22" t="s">
        <v>53</v>
      </c>
      <c r="L22">
        <v>1222943</v>
      </c>
      <c r="M22">
        <v>1689</v>
      </c>
      <c r="P22">
        <v>540</v>
      </c>
      <c r="Q22">
        <v>562</v>
      </c>
      <c r="V22" t="s">
        <v>48</v>
      </c>
      <c r="W22" t="s">
        <v>49</v>
      </c>
      <c r="X22" t="s">
        <v>50</v>
      </c>
      <c r="Z22" t="s">
        <v>103</v>
      </c>
      <c r="AA22">
        <v>43.277749999999997</v>
      </c>
      <c r="AB22">
        <v>-79.887883000000002</v>
      </c>
      <c r="AC22" t="s">
        <v>104</v>
      </c>
      <c r="AD22" t="s">
        <v>105</v>
      </c>
      <c r="AE22" t="s">
        <v>55</v>
      </c>
      <c r="AF22" t="s">
        <v>56</v>
      </c>
      <c r="AG22">
        <v>34</v>
      </c>
      <c r="AH22">
        <v>0.15160000000000001</v>
      </c>
      <c r="AI22">
        <v>-0.60650000000000004</v>
      </c>
      <c r="AJ22">
        <v>19623</v>
      </c>
      <c r="AK22">
        <v>130</v>
      </c>
      <c r="AL22">
        <v>270</v>
      </c>
      <c r="AM22">
        <v>1386</v>
      </c>
      <c r="AP22" s="3">
        <v>43683.559027777781</v>
      </c>
    </row>
    <row r="23" spans="1:42" hidden="1" x14ac:dyDescent="0.25">
      <c r="A23" t="s">
        <v>106</v>
      </c>
      <c r="C23" s="2">
        <v>44213</v>
      </c>
      <c r="D23" t="s">
        <v>43</v>
      </c>
      <c r="E23" t="s">
        <v>107</v>
      </c>
      <c r="F23" s="1">
        <v>42297.566666666666</v>
      </c>
      <c r="G23" t="s">
        <v>44</v>
      </c>
      <c r="H23" t="s">
        <v>45</v>
      </c>
      <c r="I23" t="s">
        <v>46</v>
      </c>
      <c r="J23">
        <v>15764</v>
      </c>
      <c r="K23" t="s">
        <v>53</v>
      </c>
      <c r="L23">
        <v>1222936</v>
      </c>
      <c r="M23">
        <v>1688</v>
      </c>
      <c r="P23">
        <v>555</v>
      </c>
      <c r="Q23">
        <v>570</v>
      </c>
      <c r="V23" t="s">
        <v>48</v>
      </c>
      <c r="W23" t="s">
        <v>49</v>
      </c>
      <c r="X23" t="s">
        <v>50</v>
      </c>
      <c r="Z23" t="s">
        <v>103</v>
      </c>
      <c r="AA23">
        <v>43.277749999999997</v>
      </c>
      <c r="AB23">
        <v>-79.887883000000002</v>
      </c>
      <c r="AC23" t="s">
        <v>104</v>
      </c>
      <c r="AD23" t="s">
        <v>108</v>
      </c>
      <c r="AE23" t="s">
        <v>55</v>
      </c>
      <c r="AF23" t="s">
        <v>56</v>
      </c>
      <c r="AG23">
        <v>34</v>
      </c>
      <c r="AH23">
        <v>0.15160000000000001</v>
      </c>
      <c r="AI23">
        <v>-0.60650000000000004</v>
      </c>
      <c r="AJ23">
        <v>19623</v>
      </c>
      <c r="AK23">
        <v>130</v>
      </c>
      <c r="AL23">
        <v>270</v>
      </c>
      <c r="AM23">
        <v>1386</v>
      </c>
      <c r="AP23" s="3">
        <v>43683.566666666666</v>
      </c>
    </row>
    <row r="24" spans="1:42" hidden="1" x14ac:dyDescent="0.25">
      <c r="A24" t="s">
        <v>59</v>
      </c>
      <c r="D24" t="s">
        <v>43</v>
      </c>
      <c r="E24" t="s">
        <v>109</v>
      </c>
      <c r="F24" s="1">
        <v>42297.574305555558</v>
      </c>
      <c r="G24" t="s">
        <v>44</v>
      </c>
      <c r="H24" t="s">
        <v>45</v>
      </c>
      <c r="I24" t="s">
        <v>46</v>
      </c>
      <c r="J24">
        <v>79</v>
      </c>
      <c r="K24" t="s">
        <v>110</v>
      </c>
      <c r="L24">
        <v>1221243</v>
      </c>
      <c r="M24">
        <v>1687</v>
      </c>
      <c r="P24">
        <v>500</v>
      </c>
      <c r="Q24">
        <v>520</v>
      </c>
      <c r="V24" t="s">
        <v>48</v>
      </c>
      <c r="W24" t="s">
        <v>49</v>
      </c>
      <c r="X24" t="s">
        <v>50</v>
      </c>
      <c r="Z24" t="s">
        <v>103</v>
      </c>
      <c r="AA24">
        <v>43.277749999999997</v>
      </c>
      <c r="AB24">
        <v>-79.887883000000002</v>
      </c>
      <c r="AC24" t="s">
        <v>104</v>
      </c>
      <c r="AD24" t="s">
        <v>111</v>
      </c>
      <c r="AE24" t="s">
        <v>55</v>
      </c>
      <c r="AF24" t="s">
        <v>56</v>
      </c>
      <c r="AG24">
        <v>68</v>
      </c>
      <c r="AH24">
        <v>0.30320000000000003</v>
      </c>
      <c r="AI24">
        <v>-1.2129000000000001</v>
      </c>
      <c r="AJ24">
        <v>19180</v>
      </c>
      <c r="AK24">
        <v>120</v>
      </c>
      <c r="AL24">
        <v>260</v>
      </c>
      <c r="AM24">
        <v>730</v>
      </c>
      <c r="AP24" s="3">
        <v>43027.574305555558</v>
      </c>
    </row>
    <row r="25" spans="1:42" hidden="1" x14ac:dyDescent="0.25">
      <c r="A25" t="s">
        <v>59</v>
      </c>
      <c r="D25" t="s">
        <v>43</v>
      </c>
      <c r="E25" t="s">
        <v>112</v>
      </c>
      <c r="F25" s="1">
        <v>42297.581944444442</v>
      </c>
      <c r="G25" t="s">
        <v>44</v>
      </c>
      <c r="H25" t="s">
        <v>45</v>
      </c>
      <c r="I25" t="s">
        <v>46</v>
      </c>
      <c r="J25">
        <v>83</v>
      </c>
      <c r="K25" t="s">
        <v>110</v>
      </c>
      <c r="L25">
        <v>1221247</v>
      </c>
      <c r="M25">
        <v>1686</v>
      </c>
      <c r="P25">
        <v>500</v>
      </c>
      <c r="Q25">
        <v>515</v>
      </c>
      <c r="V25" t="s">
        <v>48</v>
      </c>
      <c r="W25" t="s">
        <v>49</v>
      </c>
      <c r="X25" t="s">
        <v>50</v>
      </c>
      <c r="Z25" t="s">
        <v>103</v>
      </c>
      <c r="AA25">
        <v>43.277749999999997</v>
      </c>
      <c r="AB25">
        <v>-79.887883000000002</v>
      </c>
      <c r="AC25" t="s">
        <v>104</v>
      </c>
      <c r="AD25" t="s">
        <v>113</v>
      </c>
      <c r="AE25" t="s">
        <v>55</v>
      </c>
      <c r="AF25" t="s">
        <v>56</v>
      </c>
      <c r="AG25">
        <v>68</v>
      </c>
      <c r="AH25">
        <v>0.30320000000000003</v>
      </c>
      <c r="AI25">
        <v>-1.2129000000000001</v>
      </c>
      <c r="AJ25">
        <v>19180</v>
      </c>
      <c r="AK25">
        <v>120</v>
      </c>
      <c r="AL25">
        <v>260</v>
      </c>
      <c r="AM25">
        <v>730</v>
      </c>
      <c r="AP25" s="3">
        <v>43027.581944444442</v>
      </c>
    </row>
    <row r="26" spans="1:42" hidden="1" x14ac:dyDescent="0.25">
      <c r="A26" t="s">
        <v>59</v>
      </c>
      <c r="D26" t="s">
        <v>43</v>
      </c>
      <c r="E26" t="s">
        <v>114</v>
      </c>
      <c r="F26" s="1">
        <v>42297.587500000001</v>
      </c>
      <c r="G26" t="s">
        <v>44</v>
      </c>
      <c r="H26" t="s">
        <v>45</v>
      </c>
      <c r="I26" t="s">
        <v>46</v>
      </c>
      <c r="J26">
        <v>15774</v>
      </c>
      <c r="K26" t="s">
        <v>53</v>
      </c>
      <c r="L26">
        <v>1222946</v>
      </c>
      <c r="M26">
        <v>1684</v>
      </c>
      <c r="P26">
        <v>509</v>
      </c>
      <c r="Q26">
        <v>525</v>
      </c>
      <c r="V26" t="s">
        <v>48</v>
      </c>
      <c r="W26" t="s">
        <v>49</v>
      </c>
      <c r="X26" t="s">
        <v>50</v>
      </c>
      <c r="Z26" t="s">
        <v>103</v>
      </c>
      <c r="AA26">
        <v>43.277749999999997</v>
      </c>
      <c r="AB26">
        <v>-79.887883000000002</v>
      </c>
      <c r="AC26" t="s">
        <v>104</v>
      </c>
      <c r="AD26" t="s">
        <v>115</v>
      </c>
      <c r="AE26" t="s">
        <v>55</v>
      </c>
      <c r="AF26" t="s">
        <v>56</v>
      </c>
      <c r="AG26">
        <v>34</v>
      </c>
      <c r="AH26">
        <v>0.15160000000000001</v>
      </c>
      <c r="AI26">
        <v>-0.60650000000000004</v>
      </c>
      <c r="AJ26">
        <v>19623</v>
      </c>
      <c r="AK26">
        <v>130</v>
      </c>
      <c r="AL26">
        <v>270</v>
      </c>
      <c r="AM26">
        <v>1386</v>
      </c>
      <c r="AP26" s="3">
        <v>43683.587500000001</v>
      </c>
    </row>
    <row r="27" spans="1:42" hidden="1" x14ac:dyDescent="0.25">
      <c r="A27" t="s">
        <v>59</v>
      </c>
      <c r="D27" t="s">
        <v>43</v>
      </c>
      <c r="E27" t="s">
        <v>116</v>
      </c>
      <c r="F27" s="1">
        <v>42297.592361111114</v>
      </c>
      <c r="G27" t="s">
        <v>44</v>
      </c>
      <c r="H27" t="s">
        <v>45</v>
      </c>
      <c r="I27" t="s">
        <v>46</v>
      </c>
      <c r="J27">
        <v>15765</v>
      </c>
      <c r="K27" t="s">
        <v>53</v>
      </c>
      <c r="L27">
        <v>1222937</v>
      </c>
      <c r="M27">
        <v>1683</v>
      </c>
      <c r="P27">
        <v>500</v>
      </c>
      <c r="Q27">
        <v>521</v>
      </c>
      <c r="V27" t="s">
        <v>48</v>
      </c>
      <c r="W27" t="s">
        <v>49</v>
      </c>
      <c r="X27" t="s">
        <v>50</v>
      </c>
      <c r="Z27" t="s">
        <v>103</v>
      </c>
      <c r="AA27">
        <v>43.277749999999997</v>
      </c>
      <c r="AB27">
        <v>-79.887883000000002</v>
      </c>
      <c r="AC27" t="s">
        <v>104</v>
      </c>
      <c r="AD27" t="s">
        <v>117</v>
      </c>
      <c r="AE27" t="s">
        <v>55</v>
      </c>
      <c r="AF27" t="s">
        <v>56</v>
      </c>
      <c r="AG27">
        <v>34</v>
      </c>
      <c r="AH27">
        <v>0.15160000000000001</v>
      </c>
      <c r="AI27">
        <v>-0.60650000000000004</v>
      </c>
      <c r="AJ27">
        <v>19623</v>
      </c>
      <c r="AK27">
        <v>130</v>
      </c>
      <c r="AL27">
        <v>270</v>
      </c>
      <c r="AM27">
        <v>1386</v>
      </c>
      <c r="AP27" s="3">
        <v>43683.592361111114</v>
      </c>
    </row>
    <row r="28" spans="1:42" hidden="1" x14ac:dyDescent="0.25">
      <c r="A28" t="s">
        <v>59</v>
      </c>
      <c r="D28" t="s">
        <v>43</v>
      </c>
      <c r="E28" t="s">
        <v>118</v>
      </c>
      <c r="F28" s="1">
        <v>42297.599305555559</v>
      </c>
      <c r="G28" t="s">
        <v>44</v>
      </c>
      <c r="H28" t="s">
        <v>45</v>
      </c>
      <c r="I28" t="s">
        <v>46</v>
      </c>
      <c r="J28">
        <v>15772</v>
      </c>
      <c r="K28" t="s">
        <v>53</v>
      </c>
      <c r="L28">
        <v>1222944</v>
      </c>
      <c r="M28">
        <v>1682</v>
      </c>
      <c r="P28">
        <v>530</v>
      </c>
      <c r="Q28">
        <v>555</v>
      </c>
      <c r="V28" t="s">
        <v>48</v>
      </c>
      <c r="W28" t="s">
        <v>49</v>
      </c>
      <c r="X28" t="s">
        <v>50</v>
      </c>
      <c r="Z28" t="s">
        <v>103</v>
      </c>
      <c r="AA28">
        <v>43.277749999999997</v>
      </c>
      <c r="AB28">
        <v>-79.887883000000002</v>
      </c>
      <c r="AC28" t="s">
        <v>104</v>
      </c>
      <c r="AD28" t="s">
        <v>119</v>
      </c>
      <c r="AE28" t="s">
        <v>55</v>
      </c>
      <c r="AF28" t="s">
        <v>56</v>
      </c>
      <c r="AG28">
        <v>34</v>
      </c>
      <c r="AH28">
        <v>0.15160000000000001</v>
      </c>
      <c r="AI28">
        <v>-0.60650000000000004</v>
      </c>
      <c r="AJ28">
        <v>19623</v>
      </c>
      <c r="AK28">
        <v>130</v>
      </c>
      <c r="AL28">
        <v>270</v>
      </c>
      <c r="AM28">
        <v>1386</v>
      </c>
      <c r="AP28" s="3">
        <v>43683.599305555559</v>
      </c>
    </row>
    <row r="29" spans="1:42" hidden="1" x14ac:dyDescent="0.25">
      <c r="A29" t="s">
        <v>59</v>
      </c>
      <c r="D29" t="s">
        <v>43</v>
      </c>
      <c r="E29" t="s">
        <v>120</v>
      </c>
      <c r="F29" s="1">
        <v>42297.604166666664</v>
      </c>
      <c r="G29" t="s">
        <v>44</v>
      </c>
      <c r="H29" t="s">
        <v>45</v>
      </c>
      <c r="I29" t="s">
        <v>46</v>
      </c>
      <c r="J29">
        <v>15763</v>
      </c>
      <c r="K29" t="s">
        <v>53</v>
      </c>
      <c r="L29">
        <v>1222935</v>
      </c>
      <c r="M29">
        <v>1681</v>
      </c>
      <c r="P29">
        <v>482</v>
      </c>
      <c r="Q29">
        <v>506</v>
      </c>
      <c r="V29" t="s">
        <v>48</v>
      </c>
      <c r="W29" t="s">
        <v>49</v>
      </c>
      <c r="X29" t="s">
        <v>50</v>
      </c>
      <c r="Z29" t="s">
        <v>103</v>
      </c>
      <c r="AA29">
        <v>43.277749999999997</v>
      </c>
      <c r="AB29">
        <v>-79.887883000000002</v>
      </c>
      <c r="AC29" t="s">
        <v>104</v>
      </c>
      <c r="AD29" t="s">
        <v>121</v>
      </c>
      <c r="AE29" t="s">
        <v>55</v>
      </c>
      <c r="AF29" t="s">
        <v>56</v>
      </c>
      <c r="AG29">
        <v>34</v>
      </c>
      <c r="AH29">
        <v>0.15160000000000001</v>
      </c>
      <c r="AI29">
        <v>-0.60650000000000004</v>
      </c>
      <c r="AJ29">
        <v>19623</v>
      </c>
      <c r="AK29">
        <v>130</v>
      </c>
      <c r="AL29">
        <v>270</v>
      </c>
      <c r="AM29">
        <v>1386</v>
      </c>
      <c r="AP29" s="3">
        <v>43683.604166666664</v>
      </c>
    </row>
    <row r="30" spans="1:42" ht="14.45" hidden="1" customHeight="1" x14ac:dyDescent="0.25">
      <c r="A30" t="s">
        <v>59</v>
      </c>
      <c r="D30" t="s">
        <v>122</v>
      </c>
      <c r="E30" t="s">
        <v>123</v>
      </c>
      <c r="F30" s="1">
        <v>42297.645138888889</v>
      </c>
      <c r="G30" t="s">
        <v>44</v>
      </c>
      <c r="H30" t="s">
        <v>124</v>
      </c>
      <c r="I30" t="s">
        <v>125</v>
      </c>
      <c r="J30">
        <v>15773</v>
      </c>
      <c r="K30" t="s">
        <v>53</v>
      </c>
      <c r="L30">
        <v>1222945</v>
      </c>
      <c r="M30">
        <v>1680</v>
      </c>
      <c r="P30">
        <v>705</v>
      </c>
      <c r="Q30">
        <v>735</v>
      </c>
      <c r="V30" t="s">
        <v>48</v>
      </c>
      <c r="W30" t="s">
        <v>49</v>
      </c>
      <c r="X30" t="s">
        <v>50</v>
      </c>
      <c r="Z30" t="s">
        <v>103</v>
      </c>
      <c r="AA30">
        <v>43.277749999999997</v>
      </c>
      <c r="AB30">
        <v>-79.887883000000002</v>
      </c>
      <c r="AC30" t="s">
        <v>104</v>
      </c>
      <c r="AD30" t="s">
        <v>126</v>
      </c>
      <c r="AE30" t="s">
        <v>55</v>
      </c>
      <c r="AF30" t="s">
        <v>56</v>
      </c>
      <c r="AG30">
        <v>34</v>
      </c>
      <c r="AH30">
        <v>0.15160000000000001</v>
      </c>
      <c r="AI30">
        <v>-0.60650000000000004</v>
      </c>
      <c r="AJ30">
        <v>19623</v>
      </c>
      <c r="AK30">
        <v>130</v>
      </c>
      <c r="AL30">
        <v>270</v>
      </c>
      <c r="AM30">
        <v>1386</v>
      </c>
      <c r="AP30" s="3">
        <v>43683.645138888889</v>
      </c>
    </row>
    <row r="31" spans="1:42" ht="14.45" hidden="1" customHeight="1" x14ac:dyDescent="0.25">
      <c r="A31" t="s">
        <v>65</v>
      </c>
      <c r="C31" t="s">
        <v>74</v>
      </c>
      <c r="D31" t="s">
        <v>127</v>
      </c>
      <c r="E31" t="s">
        <v>128</v>
      </c>
      <c r="F31" s="1">
        <v>42297.651388888888</v>
      </c>
      <c r="G31" t="s">
        <v>44</v>
      </c>
      <c r="H31" t="s">
        <v>129</v>
      </c>
      <c r="I31" t="s">
        <v>130</v>
      </c>
      <c r="J31">
        <v>15770</v>
      </c>
      <c r="K31" t="s">
        <v>53</v>
      </c>
      <c r="L31">
        <v>1222942</v>
      </c>
      <c r="M31">
        <v>1678</v>
      </c>
      <c r="P31">
        <v>375</v>
      </c>
      <c r="Q31">
        <v>380</v>
      </c>
      <c r="V31" t="s">
        <v>48</v>
      </c>
      <c r="W31" t="s">
        <v>49</v>
      </c>
      <c r="X31" t="s">
        <v>50</v>
      </c>
      <c r="Z31" t="s">
        <v>103</v>
      </c>
      <c r="AA31">
        <v>43.277749999999997</v>
      </c>
      <c r="AB31">
        <v>-79.887883000000002</v>
      </c>
      <c r="AC31" t="s">
        <v>104</v>
      </c>
      <c r="AD31" t="s">
        <v>131</v>
      </c>
      <c r="AE31" t="s">
        <v>55</v>
      </c>
      <c r="AF31" t="s">
        <v>56</v>
      </c>
      <c r="AG31">
        <v>34</v>
      </c>
      <c r="AH31">
        <v>0.15160000000000001</v>
      </c>
      <c r="AI31">
        <v>-0.60650000000000004</v>
      </c>
      <c r="AJ31">
        <v>19623</v>
      </c>
      <c r="AK31">
        <v>130</v>
      </c>
      <c r="AL31">
        <v>270</v>
      </c>
      <c r="AM31">
        <v>1386</v>
      </c>
      <c r="AP31" s="3">
        <v>43683.651388888888</v>
      </c>
    </row>
    <row r="32" spans="1:42" ht="14.45" hidden="1" customHeight="1" x14ac:dyDescent="0.25">
      <c r="A32" t="s">
        <v>59</v>
      </c>
      <c r="D32" t="s">
        <v>132</v>
      </c>
      <c r="E32" t="s">
        <v>133</v>
      </c>
      <c r="F32" s="1">
        <v>42297.657638888886</v>
      </c>
      <c r="G32" t="s">
        <v>44</v>
      </c>
      <c r="H32" t="s">
        <v>134</v>
      </c>
      <c r="I32" t="s">
        <v>135</v>
      </c>
      <c r="J32">
        <v>53</v>
      </c>
      <c r="K32" t="s">
        <v>110</v>
      </c>
      <c r="L32">
        <v>1221217</v>
      </c>
      <c r="M32">
        <v>1677</v>
      </c>
      <c r="Q32">
        <v>564</v>
      </c>
      <c r="V32" t="s">
        <v>48</v>
      </c>
      <c r="W32" t="s">
        <v>49</v>
      </c>
      <c r="X32" t="s">
        <v>50</v>
      </c>
      <c r="Z32" t="s">
        <v>103</v>
      </c>
      <c r="AA32">
        <v>43.277749999999997</v>
      </c>
      <c r="AB32">
        <v>-79.887883000000002</v>
      </c>
      <c r="AC32" t="s">
        <v>104</v>
      </c>
      <c r="AD32" t="s">
        <v>136</v>
      </c>
      <c r="AE32" t="s">
        <v>55</v>
      </c>
      <c r="AF32" t="s">
        <v>56</v>
      </c>
      <c r="AG32">
        <v>68</v>
      </c>
      <c r="AH32">
        <v>0.30320000000000003</v>
      </c>
      <c r="AI32">
        <v>-1.2129000000000001</v>
      </c>
      <c r="AJ32">
        <v>19180</v>
      </c>
      <c r="AK32">
        <v>120</v>
      </c>
      <c r="AL32">
        <v>260</v>
      </c>
      <c r="AM32">
        <v>730</v>
      </c>
      <c r="AP32" s="3">
        <v>43027.657638888886</v>
      </c>
    </row>
    <row r="33" spans="1:42" ht="14.45" hidden="1" customHeight="1" x14ac:dyDescent="0.25">
      <c r="A33" t="s">
        <v>59</v>
      </c>
      <c r="D33" t="s">
        <v>122</v>
      </c>
      <c r="E33" t="s">
        <v>137</v>
      </c>
      <c r="F33" s="1">
        <v>42303.668055555558</v>
      </c>
      <c r="G33" t="s">
        <v>44</v>
      </c>
      <c r="H33" t="s">
        <v>124</v>
      </c>
      <c r="I33" t="s">
        <v>125</v>
      </c>
      <c r="J33">
        <v>29</v>
      </c>
      <c r="K33" t="s">
        <v>110</v>
      </c>
      <c r="L33">
        <v>1221193</v>
      </c>
      <c r="M33">
        <v>1676</v>
      </c>
      <c r="P33">
        <v>590</v>
      </c>
      <c r="Q33">
        <v>618</v>
      </c>
      <c r="V33" t="s">
        <v>48</v>
      </c>
      <c r="W33" t="s">
        <v>49</v>
      </c>
      <c r="X33" t="s">
        <v>50</v>
      </c>
      <c r="Z33" t="s">
        <v>103</v>
      </c>
      <c r="AA33">
        <v>43.269970000000001</v>
      </c>
      <c r="AB33">
        <v>-79.873329999999996</v>
      </c>
      <c r="AC33" t="s">
        <v>138</v>
      </c>
      <c r="AD33" t="s">
        <v>139</v>
      </c>
      <c r="AE33" t="s">
        <v>55</v>
      </c>
      <c r="AF33" t="s">
        <v>56</v>
      </c>
      <c r="AG33">
        <v>68</v>
      </c>
      <c r="AH33">
        <v>0.30320000000000003</v>
      </c>
      <c r="AI33">
        <v>-1.2129000000000001</v>
      </c>
      <c r="AJ33">
        <v>19180</v>
      </c>
      <c r="AK33">
        <v>120</v>
      </c>
      <c r="AL33">
        <v>260</v>
      </c>
      <c r="AM33">
        <v>730</v>
      </c>
      <c r="AP33" s="3">
        <v>43033.668055555558</v>
      </c>
    </row>
    <row r="34" spans="1:42" ht="14.45" hidden="1" customHeight="1" x14ac:dyDescent="0.25">
      <c r="A34" t="s">
        <v>65</v>
      </c>
      <c r="C34" t="s">
        <v>74</v>
      </c>
      <c r="D34" t="s">
        <v>122</v>
      </c>
      <c r="E34" t="s">
        <v>140</v>
      </c>
      <c r="F34" s="1">
        <v>42303.670138888891</v>
      </c>
      <c r="G34" t="s">
        <v>44</v>
      </c>
      <c r="H34" t="s">
        <v>124</v>
      </c>
      <c r="I34" t="s">
        <v>125</v>
      </c>
      <c r="J34">
        <v>30</v>
      </c>
      <c r="K34" t="s">
        <v>110</v>
      </c>
      <c r="L34">
        <v>1221194</v>
      </c>
      <c r="M34">
        <v>1325</v>
      </c>
      <c r="P34">
        <v>590</v>
      </c>
      <c r="Q34">
        <v>620</v>
      </c>
      <c r="V34" t="s">
        <v>48</v>
      </c>
      <c r="W34" t="s">
        <v>49</v>
      </c>
      <c r="X34" t="s">
        <v>50</v>
      </c>
      <c r="Z34" t="s">
        <v>103</v>
      </c>
      <c r="AA34">
        <v>43.269970000000001</v>
      </c>
      <c r="AB34">
        <v>-79.873329999999996</v>
      </c>
      <c r="AC34" t="s">
        <v>138</v>
      </c>
      <c r="AD34" t="s">
        <v>141</v>
      </c>
      <c r="AE34" t="s">
        <v>55</v>
      </c>
      <c r="AF34" t="s">
        <v>56</v>
      </c>
      <c r="AG34">
        <v>68</v>
      </c>
      <c r="AH34">
        <v>0.30320000000000003</v>
      </c>
      <c r="AI34">
        <v>-1.2129000000000001</v>
      </c>
      <c r="AJ34">
        <v>19180</v>
      </c>
      <c r="AK34">
        <v>120</v>
      </c>
      <c r="AL34">
        <v>260</v>
      </c>
      <c r="AM34">
        <v>730</v>
      </c>
      <c r="AN34" t="s">
        <v>142</v>
      </c>
      <c r="AP34" s="3">
        <v>43033.670138888891</v>
      </c>
    </row>
    <row r="35" spans="1:42" ht="14.45" hidden="1" customHeight="1" x14ac:dyDescent="0.25">
      <c r="A35" t="s">
        <v>65</v>
      </c>
      <c r="C35" t="s">
        <v>74</v>
      </c>
      <c r="D35" t="s">
        <v>122</v>
      </c>
      <c r="E35" t="s">
        <v>143</v>
      </c>
      <c r="F35" s="1">
        <v>42303.675694444442</v>
      </c>
      <c r="G35" t="s">
        <v>44</v>
      </c>
      <c r="H35" t="s">
        <v>124</v>
      </c>
      <c r="I35" t="s">
        <v>125</v>
      </c>
      <c r="J35">
        <v>31</v>
      </c>
      <c r="K35" t="s">
        <v>110</v>
      </c>
      <c r="L35">
        <v>1221195</v>
      </c>
      <c r="M35">
        <v>1324</v>
      </c>
      <c r="P35">
        <v>575</v>
      </c>
      <c r="Q35">
        <v>615</v>
      </c>
      <c r="V35" t="s">
        <v>48</v>
      </c>
      <c r="W35" t="s">
        <v>49</v>
      </c>
      <c r="X35" t="s">
        <v>50</v>
      </c>
      <c r="Z35" t="s">
        <v>103</v>
      </c>
      <c r="AA35">
        <v>43.269970000000001</v>
      </c>
      <c r="AB35">
        <v>-79.873329999999996</v>
      </c>
      <c r="AC35" t="s">
        <v>138</v>
      </c>
      <c r="AD35" t="s">
        <v>144</v>
      </c>
      <c r="AE35" t="s">
        <v>55</v>
      </c>
      <c r="AF35" t="s">
        <v>56</v>
      </c>
      <c r="AG35">
        <v>68</v>
      </c>
      <c r="AH35">
        <v>0.30320000000000003</v>
      </c>
      <c r="AI35">
        <v>-1.2129000000000001</v>
      </c>
      <c r="AJ35">
        <v>19180</v>
      </c>
      <c r="AK35">
        <v>120</v>
      </c>
      <c r="AL35">
        <v>260</v>
      </c>
      <c r="AM35">
        <v>730</v>
      </c>
      <c r="AN35" t="s">
        <v>145</v>
      </c>
      <c r="AP35" s="3">
        <v>43033.675694444442</v>
      </c>
    </row>
    <row r="36" spans="1:42" ht="14.45" hidden="1" customHeight="1" x14ac:dyDescent="0.25">
      <c r="A36" t="s">
        <v>59</v>
      </c>
      <c r="D36" t="s">
        <v>127</v>
      </c>
      <c r="E36" t="s">
        <v>146</v>
      </c>
      <c r="F36" s="1">
        <v>42303.752083333333</v>
      </c>
      <c r="G36" t="s">
        <v>44</v>
      </c>
      <c r="H36" t="s">
        <v>129</v>
      </c>
      <c r="I36" t="s">
        <v>130</v>
      </c>
      <c r="J36">
        <v>33</v>
      </c>
      <c r="K36" t="s">
        <v>110</v>
      </c>
      <c r="L36">
        <v>1221197</v>
      </c>
      <c r="M36">
        <v>1323</v>
      </c>
      <c r="P36">
        <v>385</v>
      </c>
      <c r="Q36">
        <v>401</v>
      </c>
      <c r="V36" t="s">
        <v>48</v>
      </c>
      <c r="W36" t="s">
        <v>49</v>
      </c>
      <c r="X36" t="s">
        <v>50</v>
      </c>
      <c r="Z36" t="s">
        <v>103</v>
      </c>
      <c r="AA36">
        <v>43.271949999999997</v>
      </c>
      <c r="AB36">
        <v>-79.869029999999995</v>
      </c>
      <c r="AC36" t="s">
        <v>138</v>
      </c>
      <c r="AD36" t="s">
        <v>147</v>
      </c>
      <c r="AE36" t="s">
        <v>55</v>
      </c>
      <c r="AF36" t="s">
        <v>56</v>
      </c>
      <c r="AG36">
        <v>68</v>
      </c>
      <c r="AH36">
        <v>0.30320000000000003</v>
      </c>
      <c r="AI36">
        <v>-1.2129000000000001</v>
      </c>
      <c r="AJ36">
        <v>19180</v>
      </c>
      <c r="AK36">
        <v>120</v>
      </c>
      <c r="AL36">
        <v>260</v>
      </c>
      <c r="AM36">
        <v>730</v>
      </c>
      <c r="AN36" t="s">
        <v>148</v>
      </c>
      <c r="AP36" s="3">
        <v>43033.752083333333</v>
      </c>
    </row>
    <row r="37" spans="1:42" ht="14.45" hidden="1" customHeight="1" x14ac:dyDescent="0.25">
      <c r="A37" t="s">
        <v>59</v>
      </c>
      <c r="D37" t="s">
        <v>127</v>
      </c>
      <c r="E37" t="s">
        <v>149</v>
      </c>
      <c r="F37" s="1">
        <v>42303.756249999999</v>
      </c>
      <c r="G37" t="s">
        <v>44</v>
      </c>
      <c r="H37" t="s">
        <v>129</v>
      </c>
      <c r="I37" t="s">
        <v>130</v>
      </c>
      <c r="J37">
        <v>34</v>
      </c>
      <c r="K37" t="s">
        <v>110</v>
      </c>
      <c r="L37">
        <v>1221198</v>
      </c>
      <c r="M37">
        <v>1322</v>
      </c>
      <c r="P37">
        <v>395</v>
      </c>
      <c r="Q37">
        <v>402</v>
      </c>
      <c r="V37" t="s">
        <v>48</v>
      </c>
      <c r="W37" t="s">
        <v>49</v>
      </c>
      <c r="X37" t="s">
        <v>50</v>
      </c>
      <c r="Z37" t="s">
        <v>103</v>
      </c>
      <c r="AA37">
        <v>43.271949999999997</v>
      </c>
      <c r="AB37">
        <v>-79.869029999999995</v>
      </c>
      <c r="AC37" t="s">
        <v>138</v>
      </c>
      <c r="AD37" t="s">
        <v>150</v>
      </c>
      <c r="AE37" t="s">
        <v>55</v>
      </c>
      <c r="AF37" t="s">
        <v>56</v>
      </c>
      <c r="AG37">
        <v>68</v>
      </c>
      <c r="AH37">
        <v>0.30320000000000003</v>
      </c>
      <c r="AI37">
        <v>-1.2129000000000001</v>
      </c>
      <c r="AJ37">
        <v>19180</v>
      </c>
      <c r="AK37">
        <v>120</v>
      </c>
      <c r="AL37">
        <v>260</v>
      </c>
      <c r="AM37">
        <v>730</v>
      </c>
      <c r="AN37" t="s">
        <v>151</v>
      </c>
      <c r="AP37" s="3">
        <v>43033.756249999999</v>
      </c>
    </row>
    <row r="38" spans="1:42" ht="14.45" hidden="1" customHeight="1" x14ac:dyDescent="0.25">
      <c r="A38" t="s">
        <v>65</v>
      </c>
      <c r="C38" t="s">
        <v>74</v>
      </c>
      <c r="D38" t="s">
        <v>122</v>
      </c>
      <c r="E38" t="s">
        <v>152</v>
      </c>
      <c r="F38" s="1">
        <v>42303.760416666664</v>
      </c>
      <c r="G38" t="s">
        <v>44</v>
      </c>
      <c r="H38" t="s">
        <v>124</v>
      </c>
      <c r="I38" t="s">
        <v>125</v>
      </c>
      <c r="J38">
        <v>35</v>
      </c>
      <c r="K38" t="s">
        <v>110</v>
      </c>
      <c r="L38">
        <v>1221199</v>
      </c>
      <c r="M38">
        <v>1321</v>
      </c>
      <c r="P38">
        <v>602</v>
      </c>
      <c r="Q38">
        <v>631</v>
      </c>
      <c r="V38" t="s">
        <v>48</v>
      </c>
      <c r="W38" t="s">
        <v>49</v>
      </c>
      <c r="X38" t="s">
        <v>50</v>
      </c>
      <c r="Z38" t="s">
        <v>103</v>
      </c>
      <c r="AA38">
        <v>43.271949999999997</v>
      </c>
      <c r="AB38">
        <v>-79.869029999999995</v>
      </c>
      <c r="AC38" t="s">
        <v>138</v>
      </c>
      <c r="AD38" t="s">
        <v>153</v>
      </c>
      <c r="AE38" t="s">
        <v>55</v>
      </c>
      <c r="AF38" t="s">
        <v>56</v>
      </c>
      <c r="AG38">
        <v>68</v>
      </c>
      <c r="AH38">
        <v>0.30320000000000003</v>
      </c>
      <c r="AI38">
        <v>-1.2129000000000001</v>
      </c>
      <c r="AJ38">
        <v>19180</v>
      </c>
      <c r="AK38">
        <v>120</v>
      </c>
      <c r="AL38">
        <v>260</v>
      </c>
      <c r="AM38">
        <v>730</v>
      </c>
      <c r="AN38" t="s">
        <v>154</v>
      </c>
      <c r="AP38" s="3">
        <v>43033.760416666664</v>
      </c>
    </row>
    <row r="39" spans="1:42" ht="14.45" hidden="1" customHeight="1" x14ac:dyDescent="0.25">
      <c r="A39" t="s">
        <v>59</v>
      </c>
      <c r="D39" t="s">
        <v>122</v>
      </c>
      <c r="E39" t="s">
        <v>155</v>
      </c>
      <c r="F39" s="1">
        <v>42303.765277777777</v>
      </c>
      <c r="G39" t="s">
        <v>44</v>
      </c>
      <c r="H39" t="s">
        <v>124</v>
      </c>
      <c r="I39" t="s">
        <v>125</v>
      </c>
      <c r="J39">
        <v>32</v>
      </c>
      <c r="K39" t="s">
        <v>110</v>
      </c>
      <c r="L39">
        <v>1221196</v>
      </c>
      <c r="M39">
        <v>1320</v>
      </c>
      <c r="P39">
        <v>578</v>
      </c>
      <c r="Q39">
        <v>612</v>
      </c>
      <c r="V39" t="s">
        <v>48</v>
      </c>
      <c r="W39" t="s">
        <v>49</v>
      </c>
      <c r="X39" t="s">
        <v>50</v>
      </c>
      <c r="Z39" t="s">
        <v>103</v>
      </c>
      <c r="AA39">
        <v>43.271949999999997</v>
      </c>
      <c r="AB39">
        <v>-79.869029999999995</v>
      </c>
      <c r="AC39" t="s">
        <v>138</v>
      </c>
      <c r="AD39" t="s">
        <v>156</v>
      </c>
      <c r="AE39" t="s">
        <v>55</v>
      </c>
      <c r="AF39" t="s">
        <v>56</v>
      </c>
      <c r="AG39">
        <v>68</v>
      </c>
      <c r="AH39">
        <v>0.30320000000000003</v>
      </c>
      <c r="AI39">
        <v>-1.2129000000000001</v>
      </c>
      <c r="AJ39">
        <v>19180</v>
      </c>
      <c r="AK39">
        <v>120</v>
      </c>
      <c r="AL39">
        <v>260</v>
      </c>
      <c r="AM39">
        <v>730</v>
      </c>
      <c r="AP39" s="3">
        <v>43033.765277777777</v>
      </c>
    </row>
    <row r="40" spans="1:42" ht="14.45" hidden="1" customHeight="1" x14ac:dyDescent="0.25">
      <c r="A40" t="s">
        <v>59</v>
      </c>
      <c r="D40" t="s">
        <v>122</v>
      </c>
      <c r="E40" t="s">
        <v>157</v>
      </c>
      <c r="F40" s="1">
        <v>42303.768750000003</v>
      </c>
      <c r="G40" t="s">
        <v>44</v>
      </c>
      <c r="H40" t="s">
        <v>124</v>
      </c>
      <c r="I40" t="s">
        <v>125</v>
      </c>
      <c r="J40">
        <v>54</v>
      </c>
      <c r="K40" t="s">
        <v>110</v>
      </c>
      <c r="L40">
        <v>1221218</v>
      </c>
      <c r="M40">
        <v>1319</v>
      </c>
      <c r="P40">
        <v>570</v>
      </c>
      <c r="Q40">
        <v>601</v>
      </c>
      <c r="V40" t="s">
        <v>48</v>
      </c>
      <c r="W40" t="s">
        <v>49</v>
      </c>
      <c r="X40" t="s">
        <v>50</v>
      </c>
      <c r="Z40" t="s">
        <v>103</v>
      </c>
      <c r="AA40">
        <v>43.271949999999997</v>
      </c>
      <c r="AB40">
        <v>-79.869029999999995</v>
      </c>
      <c r="AC40" t="s">
        <v>138</v>
      </c>
      <c r="AD40" t="s">
        <v>158</v>
      </c>
      <c r="AE40" t="s">
        <v>55</v>
      </c>
      <c r="AF40" t="s">
        <v>56</v>
      </c>
      <c r="AG40">
        <v>68</v>
      </c>
      <c r="AH40">
        <v>0.30320000000000003</v>
      </c>
      <c r="AI40">
        <v>-1.2129000000000001</v>
      </c>
      <c r="AJ40">
        <v>19180</v>
      </c>
      <c r="AK40">
        <v>120</v>
      </c>
      <c r="AL40">
        <v>260</v>
      </c>
      <c r="AM40">
        <v>730</v>
      </c>
      <c r="AP40" s="3">
        <v>43033.768750000003</v>
      </c>
    </row>
    <row r="41" spans="1:42" ht="14.45" hidden="1" customHeight="1" x14ac:dyDescent="0.25">
      <c r="A41" t="s">
        <v>65</v>
      </c>
      <c r="C41" s="2">
        <v>44425</v>
      </c>
      <c r="D41" t="s">
        <v>127</v>
      </c>
      <c r="E41" t="s">
        <v>159</v>
      </c>
      <c r="F41" s="1">
        <v>42303.772916666669</v>
      </c>
      <c r="G41" t="s">
        <v>44</v>
      </c>
      <c r="H41" t="s">
        <v>129</v>
      </c>
      <c r="I41" t="s">
        <v>130</v>
      </c>
      <c r="J41">
        <v>36</v>
      </c>
      <c r="K41" t="s">
        <v>110</v>
      </c>
      <c r="L41">
        <v>1221200</v>
      </c>
      <c r="M41">
        <v>1318</v>
      </c>
      <c r="P41">
        <v>390</v>
      </c>
      <c r="Q41">
        <v>395</v>
      </c>
      <c r="V41" t="s">
        <v>48</v>
      </c>
      <c r="W41" t="s">
        <v>49</v>
      </c>
      <c r="X41" t="s">
        <v>50</v>
      </c>
      <c r="Z41" t="s">
        <v>103</v>
      </c>
      <c r="AA41">
        <v>43.271949999999997</v>
      </c>
      <c r="AB41">
        <v>-79.869029999999995</v>
      </c>
      <c r="AC41" t="s">
        <v>138</v>
      </c>
      <c r="AD41" t="s">
        <v>160</v>
      </c>
      <c r="AE41" t="s">
        <v>55</v>
      </c>
      <c r="AF41" t="s">
        <v>56</v>
      </c>
      <c r="AG41">
        <v>68</v>
      </c>
      <c r="AH41">
        <v>0.30320000000000003</v>
      </c>
      <c r="AI41">
        <v>-1.2129000000000001</v>
      </c>
      <c r="AJ41">
        <v>19180</v>
      </c>
      <c r="AK41">
        <v>120</v>
      </c>
      <c r="AL41">
        <v>260</v>
      </c>
      <c r="AM41">
        <v>730</v>
      </c>
      <c r="AP41" s="3">
        <v>43033.772916666669</v>
      </c>
    </row>
    <row r="42" spans="1:42" ht="14.45" hidden="1" customHeight="1" x14ac:dyDescent="0.25">
      <c r="A42" t="s">
        <v>59</v>
      </c>
      <c r="D42" t="s">
        <v>127</v>
      </c>
      <c r="E42" t="s">
        <v>161</v>
      </c>
      <c r="F42" s="1">
        <v>42303.776388888888</v>
      </c>
      <c r="G42" t="s">
        <v>44</v>
      </c>
      <c r="H42" t="s">
        <v>129</v>
      </c>
      <c r="I42" t="s">
        <v>130</v>
      </c>
      <c r="J42">
        <v>37</v>
      </c>
      <c r="K42" t="s">
        <v>110</v>
      </c>
      <c r="L42">
        <v>1221201</v>
      </c>
      <c r="M42">
        <v>1317</v>
      </c>
      <c r="P42">
        <v>392</v>
      </c>
      <c r="Q42">
        <v>400</v>
      </c>
      <c r="V42" t="s">
        <v>48</v>
      </c>
      <c r="W42" t="s">
        <v>49</v>
      </c>
      <c r="X42" t="s">
        <v>50</v>
      </c>
      <c r="Z42" t="s">
        <v>103</v>
      </c>
      <c r="AA42">
        <v>43.271949999999997</v>
      </c>
      <c r="AB42">
        <v>-79.869029999999995</v>
      </c>
      <c r="AC42" t="s">
        <v>138</v>
      </c>
      <c r="AD42" t="s">
        <v>162</v>
      </c>
      <c r="AE42" t="s">
        <v>55</v>
      </c>
      <c r="AF42" t="s">
        <v>56</v>
      </c>
      <c r="AG42">
        <v>68</v>
      </c>
      <c r="AH42">
        <v>0.30320000000000003</v>
      </c>
      <c r="AI42">
        <v>-1.2129000000000001</v>
      </c>
      <c r="AJ42">
        <v>19180</v>
      </c>
      <c r="AK42">
        <v>120</v>
      </c>
      <c r="AL42">
        <v>260</v>
      </c>
      <c r="AM42">
        <v>730</v>
      </c>
      <c r="AN42" t="s">
        <v>163</v>
      </c>
      <c r="AP42" s="3">
        <v>43033.776388888888</v>
      </c>
    </row>
    <row r="43" spans="1:42" ht="14.45" hidden="1" customHeight="1" x14ac:dyDescent="0.25">
      <c r="A43" t="s">
        <v>59</v>
      </c>
      <c r="D43" t="s">
        <v>127</v>
      </c>
      <c r="E43" t="s">
        <v>164</v>
      </c>
      <c r="F43" s="1">
        <v>42303.780555555553</v>
      </c>
      <c r="G43" t="s">
        <v>44</v>
      </c>
      <c r="H43" t="s">
        <v>129</v>
      </c>
      <c r="I43" t="s">
        <v>130</v>
      </c>
      <c r="J43">
        <v>38</v>
      </c>
      <c r="K43" t="s">
        <v>110</v>
      </c>
      <c r="L43">
        <v>1221202</v>
      </c>
      <c r="M43">
        <v>1316</v>
      </c>
      <c r="P43">
        <v>415</v>
      </c>
      <c r="Q43">
        <v>426</v>
      </c>
      <c r="V43" t="s">
        <v>48</v>
      </c>
      <c r="W43" t="s">
        <v>49</v>
      </c>
      <c r="X43" t="s">
        <v>50</v>
      </c>
      <c r="Z43" t="s">
        <v>103</v>
      </c>
      <c r="AA43">
        <v>43.271949999999997</v>
      </c>
      <c r="AB43">
        <v>-79.869029999999995</v>
      </c>
      <c r="AC43" t="s">
        <v>138</v>
      </c>
      <c r="AD43" t="s">
        <v>165</v>
      </c>
      <c r="AE43" t="s">
        <v>55</v>
      </c>
      <c r="AF43" t="s">
        <v>56</v>
      </c>
      <c r="AG43">
        <v>68</v>
      </c>
      <c r="AH43">
        <v>0.30320000000000003</v>
      </c>
      <c r="AI43">
        <v>-1.2129000000000001</v>
      </c>
      <c r="AJ43">
        <v>19180</v>
      </c>
      <c r="AK43">
        <v>120</v>
      </c>
      <c r="AL43">
        <v>260</v>
      </c>
      <c r="AM43">
        <v>730</v>
      </c>
      <c r="AN43" t="s">
        <v>166</v>
      </c>
      <c r="AP43" s="3">
        <v>43033.780555555553</v>
      </c>
    </row>
    <row r="44" spans="1:42" ht="14.45" hidden="1" customHeight="1" x14ac:dyDescent="0.25">
      <c r="A44" t="s">
        <v>59</v>
      </c>
      <c r="D44" t="s">
        <v>127</v>
      </c>
      <c r="E44" t="s">
        <v>167</v>
      </c>
      <c r="F44" s="1">
        <v>42303.78402777778</v>
      </c>
      <c r="G44" t="s">
        <v>44</v>
      </c>
      <c r="H44" t="s">
        <v>129</v>
      </c>
      <c r="I44" t="s">
        <v>130</v>
      </c>
      <c r="J44">
        <v>39</v>
      </c>
      <c r="K44" t="s">
        <v>110</v>
      </c>
      <c r="L44">
        <v>1221203</v>
      </c>
      <c r="M44">
        <v>1315</v>
      </c>
      <c r="P44">
        <v>340</v>
      </c>
      <c r="Q44">
        <v>346</v>
      </c>
      <c r="V44" t="s">
        <v>48</v>
      </c>
      <c r="W44" t="s">
        <v>49</v>
      </c>
      <c r="X44" t="s">
        <v>50</v>
      </c>
      <c r="Z44" t="s">
        <v>103</v>
      </c>
      <c r="AA44">
        <v>43.271949999999997</v>
      </c>
      <c r="AB44">
        <v>-79.869029999999995</v>
      </c>
      <c r="AC44" t="s">
        <v>138</v>
      </c>
      <c r="AD44" t="s">
        <v>168</v>
      </c>
      <c r="AE44" t="s">
        <v>55</v>
      </c>
      <c r="AF44" t="s">
        <v>56</v>
      </c>
      <c r="AG44">
        <v>68</v>
      </c>
      <c r="AH44">
        <v>0.30320000000000003</v>
      </c>
      <c r="AI44">
        <v>-1.2129000000000001</v>
      </c>
      <c r="AJ44">
        <v>19180</v>
      </c>
      <c r="AK44">
        <v>120</v>
      </c>
      <c r="AL44">
        <v>260</v>
      </c>
      <c r="AM44">
        <v>730</v>
      </c>
      <c r="AN44" t="s">
        <v>169</v>
      </c>
      <c r="AP44" s="3">
        <v>43033.78402777778</v>
      </c>
    </row>
    <row r="45" spans="1:42" ht="14.45" hidden="1" customHeight="1" x14ac:dyDescent="0.25">
      <c r="A45" t="s">
        <v>65</v>
      </c>
      <c r="C45" s="2">
        <v>44364</v>
      </c>
      <c r="D45" t="s">
        <v>127</v>
      </c>
      <c r="E45" t="s">
        <v>170</v>
      </c>
      <c r="F45" s="1">
        <v>42303.788888888892</v>
      </c>
      <c r="G45" t="s">
        <v>44</v>
      </c>
      <c r="H45" t="s">
        <v>129</v>
      </c>
      <c r="I45" t="s">
        <v>130</v>
      </c>
      <c r="J45">
        <v>40</v>
      </c>
      <c r="K45" t="s">
        <v>110</v>
      </c>
      <c r="L45">
        <v>1221204</v>
      </c>
      <c r="M45">
        <v>1314</v>
      </c>
      <c r="P45">
        <v>410</v>
      </c>
      <c r="Q45">
        <v>425</v>
      </c>
      <c r="V45" t="s">
        <v>48</v>
      </c>
      <c r="W45" t="s">
        <v>49</v>
      </c>
      <c r="X45" t="s">
        <v>50</v>
      </c>
      <c r="Z45" t="s">
        <v>103</v>
      </c>
      <c r="AA45">
        <v>43.271949999999997</v>
      </c>
      <c r="AB45">
        <v>-79.869029999999995</v>
      </c>
      <c r="AC45" t="s">
        <v>138</v>
      </c>
      <c r="AD45" t="s">
        <v>171</v>
      </c>
      <c r="AE45" t="s">
        <v>55</v>
      </c>
      <c r="AF45" t="s">
        <v>56</v>
      </c>
      <c r="AG45">
        <v>68</v>
      </c>
      <c r="AH45">
        <v>0.30320000000000003</v>
      </c>
      <c r="AI45">
        <v>-1.2129000000000001</v>
      </c>
      <c r="AJ45">
        <v>19180</v>
      </c>
      <c r="AK45">
        <v>120</v>
      </c>
      <c r="AL45">
        <v>260</v>
      </c>
      <c r="AM45">
        <v>730</v>
      </c>
      <c r="AN45" t="s">
        <v>172</v>
      </c>
      <c r="AP45" s="3">
        <v>43033.788888888892</v>
      </c>
    </row>
    <row r="46" spans="1:42" ht="14.45" hidden="1" customHeight="1" x14ac:dyDescent="0.25">
      <c r="A46" t="s">
        <v>42</v>
      </c>
      <c r="C46" s="2">
        <v>44485</v>
      </c>
      <c r="D46" t="s">
        <v>127</v>
      </c>
      <c r="E46" t="s">
        <v>173</v>
      </c>
      <c r="F46" s="1">
        <v>42303.793055555558</v>
      </c>
      <c r="G46" t="s">
        <v>44</v>
      </c>
      <c r="H46" t="s">
        <v>129</v>
      </c>
      <c r="I46" t="s">
        <v>130</v>
      </c>
      <c r="J46">
        <v>44</v>
      </c>
      <c r="K46" t="s">
        <v>110</v>
      </c>
      <c r="L46">
        <v>1221208</v>
      </c>
      <c r="M46">
        <v>1313</v>
      </c>
      <c r="P46">
        <v>404</v>
      </c>
      <c r="Q46">
        <v>410</v>
      </c>
      <c r="V46" t="s">
        <v>48</v>
      </c>
      <c r="W46" t="s">
        <v>49</v>
      </c>
      <c r="X46" t="s">
        <v>50</v>
      </c>
      <c r="Z46" t="s">
        <v>103</v>
      </c>
      <c r="AA46">
        <v>43.271949999999997</v>
      </c>
      <c r="AB46">
        <v>-79.869029999999995</v>
      </c>
      <c r="AC46" t="s">
        <v>138</v>
      </c>
      <c r="AD46" t="s">
        <v>174</v>
      </c>
      <c r="AE46" t="s">
        <v>55</v>
      </c>
      <c r="AF46" t="s">
        <v>56</v>
      </c>
      <c r="AG46">
        <v>68</v>
      </c>
      <c r="AH46">
        <v>0.30320000000000003</v>
      </c>
      <c r="AI46">
        <v>-1.2129000000000001</v>
      </c>
      <c r="AJ46">
        <v>19180</v>
      </c>
      <c r="AK46">
        <v>120</v>
      </c>
      <c r="AL46">
        <v>260</v>
      </c>
      <c r="AM46">
        <v>730</v>
      </c>
      <c r="AN46" t="s">
        <v>175</v>
      </c>
      <c r="AP46" s="3">
        <v>43033.793055555558</v>
      </c>
    </row>
    <row r="47" spans="1:42" ht="14.45" hidden="1" customHeight="1" x14ac:dyDescent="0.25">
      <c r="A47" t="s">
        <v>65</v>
      </c>
      <c r="C47" s="2">
        <v>44364</v>
      </c>
      <c r="D47" t="s">
        <v>127</v>
      </c>
      <c r="E47" t="s">
        <v>176</v>
      </c>
      <c r="F47" s="1">
        <v>42303.797222222223</v>
      </c>
      <c r="G47" t="s">
        <v>44</v>
      </c>
      <c r="H47" t="s">
        <v>129</v>
      </c>
      <c r="I47" t="s">
        <v>130</v>
      </c>
      <c r="J47">
        <v>43</v>
      </c>
      <c r="K47" t="s">
        <v>110</v>
      </c>
      <c r="L47">
        <v>1221207</v>
      </c>
      <c r="M47">
        <v>1312</v>
      </c>
      <c r="P47">
        <v>360</v>
      </c>
      <c r="Q47">
        <v>370</v>
      </c>
      <c r="V47" t="s">
        <v>48</v>
      </c>
      <c r="W47" t="s">
        <v>49</v>
      </c>
      <c r="X47" t="s">
        <v>50</v>
      </c>
      <c r="Z47" t="s">
        <v>103</v>
      </c>
      <c r="AA47">
        <v>43.271949999999997</v>
      </c>
      <c r="AB47">
        <v>-79.869029999999995</v>
      </c>
      <c r="AC47" t="s">
        <v>138</v>
      </c>
      <c r="AD47" t="s">
        <v>177</v>
      </c>
      <c r="AE47" t="s">
        <v>55</v>
      </c>
      <c r="AF47" t="s">
        <v>56</v>
      </c>
      <c r="AG47">
        <v>68</v>
      </c>
      <c r="AH47">
        <v>0.30320000000000003</v>
      </c>
      <c r="AI47">
        <v>-1.2129000000000001</v>
      </c>
      <c r="AJ47">
        <v>19180</v>
      </c>
      <c r="AK47">
        <v>120</v>
      </c>
      <c r="AL47">
        <v>260</v>
      </c>
      <c r="AM47">
        <v>730</v>
      </c>
      <c r="AP47" s="3">
        <v>43033.797222222223</v>
      </c>
    </row>
    <row r="48" spans="1:42" ht="14.45" hidden="1" customHeight="1" x14ac:dyDescent="0.25">
      <c r="A48" t="s">
        <v>59</v>
      </c>
      <c r="D48" t="s">
        <v>122</v>
      </c>
      <c r="E48" t="s">
        <v>178</v>
      </c>
      <c r="F48" s="1">
        <v>42303.832638888889</v>
      </c>
      <c r="G48" t="s">
        <v>44</v>
      </c>
      <c r="H48" t="s">
        <v>124</v>
      </c>
      <c r="I48" t="s">
        <v>125</v>
      </c>
      <c r="J48">
        <v>41</v>
      </c>
      <c r="K48" t="s">
        <v>110</v>
      </c>
      <c r="L48">
        <v>1221205</v>
      </c>
      <c r="M48">
        <v>1311</v>
      </c>
      <c r="P48">
        <v>632</v>
      </c>
      <c r="Q48">
        <v>670</v>
      </c>
      <c r="V48" t="s">
        <v>48</v>
      </c>
      <c r="W48" t="s">
        <v>49</v>
      </c>
      <c r="X48" t="s">
        <v>50</v>
      </c>
      <c r="Z48" t="s">
        <v>103</v>
      </c>
      <c r="AA48">
        <v>43.273490000000002</v>
      </c>
      <c r="AB48">
        <v>-79.873279999999994</v>
      </c>
      <c r="AC48" t="s">
        <v>138</v>
      </c>
      <c r="AD48" t="s">
        <v>179</v>
      </c>
      <c r="AE48" t="s">
        <v>55</v>
      </c>
      <c r="AF48" t="s">
        <v>56</v>
      </c>
      <c r="AG48">
        <v>68</v>
      </c>
      <c r="AH48">
        <v>0.30320000000000003</v>
      </c>
      <c r="AI48">
        <v>-1.2129000000000001</v>
      </c>
      <c r="AJ48">
        <v>19180</v>
      </c>
      <c r="AK48">
        <v>120</v>
      </c>
      <c r="AL48">
        <v>260</v>
      </c>
      <c r="AM48">
        <v>730</v>
      </c>
      <c r="AN48" t="s">
        <v>180</v>
      </c>
      <c r="AP48" s="3">
        <v>43033.832638888889</v>
      </c>
    </row>
    <row r="49" spans="1:42" ht="14.45" hidden="1" customHeight="1" x14ac:dyDescent="0.25">
      <c r="A49" t="s">
        <v>59</v>
      </c>
      <c r="D49" t="s">
        <v>122</v>
      </c>
      <c r="E49" t="s">
        <v>181</v>
      </c>
      <c r="F49" s="1">
        <v>42303.837500000001</v>
      </c>
      <c r="G49" t="s">
        <v>44</v>
      </c>
      <c r="H49" t="s">
        <v>124</v>
      </c>
      <c r="I49" t="s">
        <v>125</v>
      </c>
      <c r="J49">
        <v>55</v>
      </c>
      <c r="K49" t="s">
        <v>110</v>
      </c>
      <c r="L49">
        <v>1221219</v>
      </c>
      <c r="M49">
        <v>1310</v>
      </c>
      <c r="P49">
        <v>625</v>
      </c>
      <c r="Q49">
        <v>651</v>
      </c>
      <c r="V49" t="s">
        <v>48</v>
      </c>
      <c r="W49" t="s">
        <v>49</v>
      </c>
      <c r="X49" t="s">
        <v>50</v>
      </c>
      <c r="Z49" t="s">
        <v>103</v>
      </c>
      <c r="AA49">
        <v>43.273490000000002</v>
      </c>
      <c r="AB49">
        <v>-79.873279999999994</v>
      </c>
      <c r="AC49" t="s">
        <v>138</v>
      </c>
      <c r="AD49" t="s">
        <v>182</v>
      </c>
      <c r="AE49" t="s">
        <v>55</v>
      </c>
      <c r="AF49" t="s">
        <v>56</v>
      </c>
      <c r="AG49">
        <v>68</v>
      </c>
      <c r="AH49">
        <v>0.30320000000000003</v>
      </c>
      <c r="AI49">
        <v>-1.2129000000000001</v>
      </c>
      <c r="AJ49">
        <v>19180</v>
      </c>
      <c r="AK49">
        <v>120</v>
      </c>
      <c r="AL49">
        <v>260</v>
      </c>
      <c r="AM49">
        <v>730</v>
      </c>
      <c r="AN49" t="s">
        <v>183</v>
      </c>
      <c r="AP49" s="3">
        <v>43033.837500000001</v>
      </c>
    </row>
    <row r="50" spans="1:42" ht="14.45" hidden="1" customHeight="1" x14ac:dyDescent="0.25">
      <c r="A50" t="s">
        <v>59</v>
      </c>
      <c r="D50" t="s">
        <v>127</v>
      </c>
      <c r="E50" t="s">
        <v>184</v>
      </c>
      <c r="F50" s="1">
        <v>42303.841666666667</v>
      </c>
      <c r="G50" t="s">
        <v>44</v>
      </c>
      <c r="H50" t="s">
        <v>129</v>
      </c>
      <c r="I50" t="s">
        <v>130</v>
      </c>
      <c r="J50">
        <v>49</v>
      </c>
      <c r="K50" t="s">
        <v>110</v>
      </c>
      <c r="L50">
        <v>1221213</v>
      </c>
      <c r="M50">
        <v>1309</v>
      </c>
      <c r="P50">
        <v>390</v>
      </c>
      <c r="Q50">
        <v>405</v>
      </c>
      <c r="V50" t="s">
        <v>48</v>
      </c>
      <c r="W50" t="s">
        <v>49</v>
      </c>
      <c r="X50" t="s">
        <v>50</v>
      </c>
      <c r="Z50" t="s">
        <v>103</v>
      </c>
      <c r="AA50">
        <v>43.273490000000002</v>
      </c>
      <c r="AB50">
        <v>-79.873279999999994</v>
      </c>
      <c r="AC50" t="s">
        <v>138</v>
      </c>
      <c r="AD50" t="s">
        <v>185</v>
      </c>
      <c r="AE50" t="s">
        <v>55</v>
      </c>
      <c r="AF50" t="s">
        <v>56</v>
      </c>
      <c r="AG50">
        <v>68</v>
      </c>
      <c r="AH50">
        <v>0.30320000000000003</v>
      </c>
      <c r="AI50">
        <v>-1.2129000000000001</v>
      </c>
      <c r="AJ50">
        <v>19180</v>
      </c>
      <c r="AK50">
        <v>120</v>
      </c>
      <c r="AL50">
        <v>260</v>
      </c>
      <c r="AM50">
        <v>730</v>
      </c>
      <c r="AN50" t="s">
        <v>186</v>
      </c>
      <c r="AP50" s="3">
        <v>43033.841666666667</v>
      </c>
    </row>
    <row r="51" spans="1:42" ht="14.45" hidden="1" customHeight="1" x14ac:dyDescent="0.25">
      <c r="A51" t="s">
        <v>65</v>
      </c>
      <c r="C51" s="2">
        <v>44213</v>
      </c>
      <c r="D51" t="s">
        <v>127</v>
      </c>
      <c r="E51" t="s">
        <v>187</v>
      </c>
      <c r="F51" s="1">
        <v>42303.845833333333</v>
      </c>
      <c r="G51" t="s">
        <v>44</v>
      </c>
      <c r="H51" t="s">
        <v>129</v>
      </c>
      <c r="I51" t="s">
        <v>130</v>
      </c>
      <c r="J51">
        <v>50</v>
      </c>
      <c r="K51" t="s">
        <v>110</v>
      </c>
      <c r="L51">
        <v>1221214</v>
      </c>
      <c r="M51">
        <v>1308</v>
      </c>
      <c r="P51">
        <v>410</v>
      </c>
      <c r="Q51">
        <v>422</v>
      </c>
      <c r="V51" t="s">
        <v>48</v>
      </c>
      <c r="W51" t="s">
        <v>49</v>
      </c>
      <c r="X51" t="s">
        <v>50</v>
      </c>
      <c r="Z51" t="s">
        <v>103</v>
      </c>
      <c r="AA51">
        <v>43.273490000000002</v>
      </c>
      <c r="AB51">
        <v>-79.873279999999994</v>
      </c>
      <c r="AC51" t="s">
        <v>138</v>
      </c>
      <c r="AD51" t="s">
        <v>188</v>
      </c>
      <c r="AE51" t="s">
        <v>55</v>
      </c>
      <c r="AF51" t="s">
        <v>56</v>
      </c>
      <c r="AG51">
        <v>68</v>
      </c>
      <c r="AH51">
        <v>0.30320000000000003</v>
      </c>
      <c r="AI51">
        <v>-1.2129000000000001</v>
      </c>
      <c r="AJ51">
        <v>19180</v>
      </c>
      <c r="AK51">
        <v>120</v>
      </c>
      <c r="AL51">
        <v>260</v>
      </c>
      <c r="AM51">
        <v>730</v>
      </c>
      <c r="AN51" t="s">
        <v>189</v>
      </c>
      <c r="AP51" s="3">
        <v>43033.845833333333</v>
      </c>
    </row>
    <row r="52" spans="1:42" ht="14.45" hidden="1" customHeight="1" x14ac:dyDescent="0.25">
      <c r="A52" t="s">
        <v>42</v>
      </c>
      <c r="C52" s="2">
        <v>44272</v>
      </c>
      <c r="D52" t="s">
        <v>127</v>
      </c>
      <c r="E52" t="s">
        <v>190</v>
      </c>
      <c r="F52" s="1">
        <v>42303.849305555559</v>
      </c>
      <c r="G52" t="s">
        <v>44</v>
      </c>
      <c r="H52" t="s">
        <v>129</v>
      </c>
      <c r="I52" t="s">
        <v>130</v>
      </c>
      <c r="J52">
        <v>45</v>
      </c>
      <c r="K52" t="s">
        <v>110</v>
      </c>
      <c r="L52">
        <v>1221209</v>
      </c>
      <c r="M52">
        <v>1307</v>
      </c>
      <c r="P52">
        <v>400</v>
      </c>
      <c r="Q52">
        <v>415</v>
      </c>
      <c r="V52" t="s">
        <v>48</v>
      </c>
      <c r="W52" t="s">
        <v>49</v>
      </c>
      <c r="X52" t="s">
        <v>50</v>
      </c>
      <c r="Z52" t="s">
        <v>103</v>
      </c>
      <c r="AA52">
        <v>43.273490000000002</v>
      </c>
      <c r="AB52">
        <v>-79.873279999999994</v>
      </c>
      <c r="AC52" t="s">
        <v>138</v>
      </c>
      <c r="AD52" t="s">
        <v>191</v>
      </c>
      <c r="AE52" t="s">
        <v>55</v>
      </c>
      <c r="AF52" t="s">
        <v>56</v>
      </c>
      <c r="AG52">
        <v>68</v>
      </c>
      <c r="AH52">
        <v>0.30320000000000003</v>
      </c>
      <c r="AI52">
        <v>-1.2129000000000001</v>
      </c>
      <c r="AJ52">
        <v>19180</v>
      </c>
      <c r="AK52">
        <v>120</v>
      </c>
      <c r="AL52">
        <v>260</v>
      </c>
      <c r="AM52">
        <v>730</v>
      </c>
      <c r="AP52" s="3">
        <v>43033.849305555559</v>
      </c>
    </row>
    <row r="53" spans="1:42" ht="14.45" hidden="1" customHeight="1" x14ac:dyDescent="0.25">
      <c r="A53" t="s">
        <v>65</v>
      </c>
      <c r="C53" s="2">
        <v>44272</v>
      </c>
      <c r="D53" t="s">
        <v>127</v>
      </c>
      <c r="E53" t="s">
        <v>192</v>
      </c>
      <c r="F53" s="1">
        <v>42303.853472222225</v>
      </c>
      <c r="G53" t="s">
        <v>44</v>
      </c>
      <c r="H53" t="s">
        <v>129</v>
      </c>
      <c r="I53" t="s">
        <v>130</v>
      </c>
      <c r="J53">
        <v>46</v>
      </c>
      <c r="K53" t="s">
        <v>110</v>
      </c>
      <c r="L53">
        <v>1221210</v>
      </c>
      <c r="M53">
        <v>1306</v>
      </c>
      <c r="P53">
        <v>380</v>
      </c>
      <c r="Q53">
        <v>395</v>
      </c>
      <c r="V53" t="s">
        <v>48</v>
      </c>
      <c r="W53" t="s">
        <v>49</v>
      </c>
      <c r="X53" t="s">
        <v>50</v>
      </c>
      <c r="Z53" t="s">
        <v>103</v>
      </c>
      <c r="AA53">
        <v>43.273490000000002</v>
      </c>
      <c r="AB53">
        <v>-79.873279999999994</v>
      </c>
      <c r="AC53" t="s">
        <v>138</v>
      </c>
      <c r="AD53" t="s">
        <v>193</v>
      </c>
      <c r="AE53" t="s">
        <v>55</v>
      </c>
      <c r="AF53" t="s">
        <v>56</v>
      </c>
      <c r="AG53">
        <v>68</v>
      </c>
      <c r="AH53">
        <v>0.30320000000000003</v>
      </c>
      <c r="AI53">
        <v>-1.2129000000000001</v>
      </c>
      <c r="AJ53">
        <v>19180</v>
      </c>
      <c r="AK53">
        <v>120</v>
      </c>
      <c r="AL53">
        <v>260</v>
      </c>
      <c r="AM53">
        <v>730</v>
      </c>
      <c r="AN53" t="s">
        <v>194</v>
      </c>
      <c r="AP53" s="3">
        <v>43033.853472222225</v>
      </c>
    </row>
    <row r="54" spans="1:42" ht="14.45" hidden="1" customHeight="1" x14ac:dyDescent="0.25">
      <c r="A54" t="s">
        <v>59</v>
      </c>
      <c r="D54" t="s">
        <v>127</v>
      </c>
      <c r="E54" t="s">
        <v>195</v>
      </c>
      <c r="F54" s="1">
        <v>42303.856944444444</v>
      </c>
      <c r="G54" t="s">
        <v>44</v>
      </c>
      <c r="H54" t="s">
        <v>129</v>
      </c>
      <c r="I54" t="s">
        <v>130</v>
      </c>
      <c r="J54">
        <v>42</v>
      </c>
      <c r="K54" t="s">
        <v>110</v>
      </c>
      <c r="L54">
        <v>1221206</v>
      </c>
      <c r="M54">
        <v>1305</v>
      </c>
      <c r="P54">
        <v>380</v>
      </c>
      <c r="Q54">
        <v>387</v>
      </c>
      <c r="V54" t="s">
        <v>48</v>
      </c>
      <c r="W54" t="s">
        <v>49</v>
      </c>
      <c r="X54" t="s">
        <v>50</v>
      </c>
      <c r="Z54" t="s">
        <v>103</v>
      </c>
      <c r="AA54">
        <v>43.273490000000002</v>
      </c>
      <c r="AB54">
        <v>-79.873279999999994</v>
      </c>
      <c r="AC54" t="s">
        <v>138</v>
      </c>
      <c r="AD54" t="s">
        <v>196</v>
      </c>
      <c r="AE54" t="s">
        <v>55</v>
      </c>
      <c r="AF54" t="s">
        <v>56</v>
      </c>
      <c r="AG54">
        <v>68</v>
      </c>
      <c r="AH54">
        <v>0.30320000000000003</v>
      </c>
      <c r="AI54">
        <v>-1.2129000000000001</v>
      </c>
      <c r="AJ54">
        <v>19180</v>
      </c>
      <c r="AK54">
        <v>120</v>
      </c>
      <c r="AL54">
        <v>260</v>
      </c>
      <c r="AM54">
        <v>730</v>
      </c>
      <c r="AN54" t="s">
        <v>197</v>
      </c>
      <c r="AP54" s="3">
        <v>43033.856944444444</v>
      </c>
    </row>
    <row r="55" spans="1:42" ht="14.45" hidden="1" customHeight="1" x14ac:dyDescent="0.25">
      <c r="A55" t="s">
        <v>65</v>
      </c>
      <c r="C55" s="2">
        <v>44213</v>
      </c>
      <c r="D55" t="s">
        <v>198</v>
      </c>
      <c r="E55" t="s">
        <v>199</v>
      </c>
      <c r="F55" s="1">
        <v>42515.333333333336</v>
      </c>
      <c r="G55" t="s">
        <v>44</v>
      </c>
      <c r="H55" t="s">
        <v>200</v>
      </c>
      <c r="I55" t="s">
        <v>201</v>
      </c>
      <c r="J55">
        <v>15429</v>
      </c>
      <c r="K55" t="s">
        <v>53</v>
      </c>
      <c r="L55">
        <v>1240651</v>
      </c>
      <c r="M55">
        <v>1303</v>
      </c>
      <c r="P55">
        <v>603</v>
      </c>
      <c r="R55">
        <v>3580</v>
      </c>
      <c r="S55" t="s">
        <v>202</v>
      </c>
      <c r="V55" t="s">
        <v>48</v>
      </c>
      <c r="W55" t="s">
        <v>49</v>
      </c>
      <c r="X55" t="s">
        <v>50</v>
      </c>
      <c r="Z55" t="s">
        <v>203</v>
      </c>
      <c r="AA55">
        <v>43.279536999999998</v>
      </c>
      <c r="AB55">
        <v>-79.893337000000002</v>
      </c>
      <c r="AC55" t="s">
        <v>203</v>
      </c>
      <c r="AD55" t="s">
        <v>204</v>
      </c>
      <c r="AE55" t="s">
        <v>55</v>
      </c>
      <c r="AF55" t="s">
        <v>56</v>
      </c>
      <c r="AG55">
        <v>34</v>
      </c>
      <c r="AH55">
        <v>0.15160000000000001</v>
      </c>
      <c r="AI55">
        <v>-0.60650000000000004</v>
      </c>
      <c r="AJ55">
        <v>20778</v>
      </c>
      <c r="AK55">
        <v>130</v>
      </c>
      <c r="AL55">
        <v>270</v>
      </c>
      <c r="AM55">
        <v>1391</v>
      </c>
      <c r="AP55" s="3">
        <f>F55+AM55</f>
        <v>43906.333333333336</v>
      </c>
    </row>
    <row r="56" spans="1:42" ht="14.45" hidden="1" customHeight="1" x14ac:dyDescent="0.25">
      <c r="A56" t="s">
        <v>59</v>
      </c>
      <c r="D56" t="s">
        <v>198</v>
      </c>
      <c r="E56" t="s">
        <v>205</v>
      </c>
      <c r="F56" s="1">
        <v>42515.333333333336</v>
      </c>
      <c r="G56" t="s">
        <v>44</v>
      </c>
      <c r="H56" t="s">
        <v>200</v>
      </c>
      <c r="I56" t="s">
        <v>201</v>
      </c>
      <c r="J56">
        <v>15430</v>
      </c>
      <c r="K56" t="s">
        <v>53</v>
      </c>
      <c r="L56">
        <v>1240652</v>
      </c>
      <c r="M56">
        <v>1801</v>
      </c>
      <c r="P56">
        <v>570</v>
      </c>
      <c r="R56">
        <v>3050</v>
      </c>
      <c r="S56" t="s">
        <v>206</v>
      </c>
      <c r="V56" t="s">
        <v>48</v>
      </c>
      <c r="W56" t="s">
        <v>49</v>
      </c>
      <c r="X56" t="s">
        <v>50</v>
      </c>
      <c r="Z56" t="s">
        <v>203</v>
      </c>
      <c r="AA56">
        <v>43.279536999999998</v>
      </c>
      <c r="AB56">
        <v>-79.893337000000002</v>
      </c>
      <c r="AC56" t="s">
        <v>203</v>
      </c>
      <c r="AD56" t="s">
        <v>207</v>
      </c>
      <c r="AE56" t="s">
        <v>55</v>
      </c>
      <c r="AF56" t="s">
        <v>56</v>
      </c>
      <c r="AG56">
        <v>34</v>
      </c>
      <c r="AH56">
        <v>0.15160000000000001</v>
      </c>
      <c r="AI56">
        <v>-0.60650000000000004</v>
      </c>
      <c r="AJ56">
        <v>20778</v>
      </c>
      <c r="AK56">
        <v>130</v>
      </c>
      <c r="AL56">
        <v>270</v>
      </c>
      <c r="AM56">
        <v>1391</v>
      </c>
      <c r="AP56" s="3">
        <f t="shared" ref="AP56:AP88" si="0">F56+AM56</f>
        <v>43906.333333333336</v>
      </c>
    </row>
    <row r="57" spans="1:42" ht="14.45" hidden="1" customHeight="1" x14ac:dyDescent="0.25">
      <c r="A57" t="s">
        <v>65</v>
      </c>
      <c r="C57" s="2">
        <v>44516</v>
      </c>
      <c r="D57" t="s">
        <v>198</v>
      </c>
      <c r="E57" t="s">
        <v>208</v>
      </c>
      <c r="F57" s="1">
        <v>42515.333333333336</v>
      </c>
      <c r="G57" t="s">
        <v>44</v>
      </c>
      <c r="H57" t="s">
        <v>200</v>
      </c>
      <c r="I57" t="s">
        <v>201</v>
      </c>
      <c r="J57">
        <v>15431</v>
      </c>
      <c r="K57" t="s">
        <v>53</v>
      </c>
      <c r="L57">
        <v>1240653</v>
      </c>
      <c r="M57">
        <v>1304</v>
      </c>
      <c r="P57">
        <v>599</v>
      </c>
      <c r="R57">
        <v>3440</v>
      </c>
      <c r="S57" t="s">
        <v>206</v>
      </c>
      <c r="V57" t="s">
        <v>48</v>
      </c>
      <c r="W57" t="s">
        <v>49</v>
      </c>
      <c r="X57" t="s">
        <v>50</v>
      </c>
      <c r="Z57" t="s">
        <v>203</v>
      </c>
      <c r="AA57">
        <v>43.279536999999998</v>
      </c>
      <c r="AB57">
        <v>-79.893337000000002</v>
      </c>
      <c r="AC57" t="s">
        <v>203</v>
      </c>
      <c r="AD57" t="s">
        <v>209</v>
      </c>
      <c r="AE57" t="s">
        <v>55</v>
      </c>
      <c r="AF57" t="s">
        <v>56</v>
      </c>
      <c r="AG57">
        <v>34</v>
      </c>
      <c r="AH57">
        <v>0.15160000000000001</v>
      </c>
      <c r="AI57">
        <v>-0.60650000000000004</v>
      </c>
      <c r="AJ57">
        <v>20778</v>
      </c>
      <c r="AK57">
        <v>130</v>
      </c>
      <c r="AL57">
        <v>270</v>
      </c>
      <c r="AM57">
        <v>1391</v>
      </c>
      <c r="AP57" s="3">
        <f t="shared" si="0"/>
        <v>43906.333333333336</v>
      </c>
    </row>
    <row r="58" spans="1:42" ht="14.45" hidden="1" customHeight="1" x14ac:dyDescent="0.25">
      <c r="A58" t="s">
        <v>65</v>
      </c>
      <c r="C58" s="2">
        <v>44303</v>
      </c>
      <c r="D58" t="s">
        <v>198</v>
      </c>
      <c r="E58" t="s">
        <v>210</v>
      </c>
      <c r="F58" s="1">
        <v>42515.333333333336</v>
      </c>
      <c r="G58" t="s">
        <v>44</v>
      </c>
      <c r="H58" t="s">
        <v>200</v>
      </c>
      <c r="I58" t="s">
        <v>201</v>
      </c>
      <c r="J58">
        <v>15432</v>
      </c>
      <c r="K58" t="s">
        <v>53</v>
      </c>
      <c r="L58">
        <v>1240654</v>
      </c>
      <c r="M58">
        <v>1302</v>
      </c>
      <c r="P58">
        <v>521</v>
      </c>
      <c r="R58">
        <v>2470</v>
      </c>
      <c r="S58" t="s">
        <v>206</v>
      </c>
      <c r="V58" t="s">
        <v>48</v>
      </c>
      <c r="W58" t="s">
        <v>49</v>
      </c>
      <c r="X58" t="s">
        <v>50</v>
      </c>
      <c r="Z58" t="s">
        <v>203</v>
      </c>
      <c r="AA58">
        <v>43.279536999999998</v>
      </c>
      <c r="AB58">
        <v>-79.893337000000002</v>
      </c>
      <c r="AC58" t="s">
        <v>203</v>
      </c>
      <c r="AD58" t="s">
        <v>211</v>
      </c>
      <c r="AE58" t="s">
        <v>55</v>
      </c>
      <c r="AF58" t="s">
        <v>56</v>
      </c>
      <c r="AG58">
        <v>34</v>
      </c>
      <c r="AH58">
        <v>0.15160000000000001</v>
      </c>
      <c r="AI58">
        <v>-0.60650000000000004</v>
      </c>
      <c r="AJ58">
        <v>20778</v>
      </c>
      <c r="AK58">
        <v>130</v>
      </c>
      <c r="AL58">
        <v>270</v>
      </c>
      <c r="AM58">
        <v>1391</v>
      </c>
      <c r="AP58" s="3">
        <f t="shared" si="0"/>
        <v>43906.333333333336</v>
      </c>
    </row>
    <row r="59" spans="1:42" ht="14.45" hidden="1" customHeight="1" x14ac:dyDescent="0.25">
      <c r="A59" t="s">
        <v>65</v>
      </c>
      <c r="C59" t="s">
        <v>74</v>
      </c>
      <c r="D59" t="s">
        <v>198</v>
      </c>
      <c r="E59" t="s">
        <v>212</v>
      </c>
      <c r="F59" s="1">
        <v>42515.333333333336</v>
      </c>
      <c r="G59" t="s">
        <v>44</v>
      </c>
      <c r="H59" t="s">
        <v>200</v>
      </c>
      <c r="I59" t="s">
        <v>201</v>
      </c>
      <c r="J59">
        <v>15434</v>
      </c>
      <c r="K59" t="s">
        <v>53</v>
      </c>
      <c r="L59">
        <v>1240656</v>
      </c>
      <c r="M59">
        <v>1301</v>
      </c>
      <c r="P59">
        <v>651</v>
      </c>
      <c r="R59">
        <v>4130</v>
      </c>
      <c r="S59" t="s">
        <v>202</v>
      </c>
      <c r="V59" t="s">
        <v>48</v>
      </c>
      <c r="W59" t="s">
        <v>49</v>
      </c>
      <c r="X59" t="s">
        <v>50</v>
      </c>
      <c r="Z59" t="s">
        <v>203</v>
      </c>
      <c r="AA59">
        <v>43.279536999999998</v>
      </c>
      <c r="AB59">
        <v>-79.893337000000002</v>
      </c>
      <c r="AC59" t="s">
        <v>203</v>
      </c>
      <c r="AD59" t="s">
        <v>213</v>
      </c>
      <c r="AE59" t="s">
        <v>55</v>
      </c>
      <c r="AF59" t="s">
        <v>56</v>
      </c>
      <c r="AG59">
        <v>34</v>
      </c>
      <c r="AH59">
        <v>0.15160000000000001</v>
      </c>
      <c r="AI59">
        <v>-0.60650000000000004</v>
      </c>
      <c r="AJ59">
        <v>20778</v>
      </c>
      <c r="AK59">
        <v>130</v>
      </c>
      <c r="AL59">
        <v>270</v>
      </c>
      <c r="AM59">
        <v>1391</v>
      </c>
      <c r="AP59" s="3">
        <f t="shared" si="0"/>
        <v>43906.333333333336</v>
      </c>
    </row>
    <row r="60" spans="1:42" ht="14.45" hidden="1" customHeight="1" x14ac:dyDescent="0.25">
      <c r="A60" t="s">
        <v>65</v>
      </c>
      <c r="C60" t="s">
        <v>214</v>
      </c>
      <c r="D60" t="s">
        <v>122</v>
      </c>
      <c r="E60" t="s">
        <v>215</v>
      </c>
      <c r="F60" s="1">
        <v>42535.95208333333</v>
      </c>
      <c r="G60" t="s">
        <v>44</v>
      </c>
      <c r="H60" t="s">
        <v>124</v>
      </c>
      <c r="I60" t="s">
        <v>125</v>
      </c>
      <c r="J60">
        <v>15436</v>
      </c>
      <c r="K60" t="s">
        <v>53</v>
      </c>
      <c r="L60">
        <v>1240658</v>
      </c>
      <c r="M60">
        <v>1802</v>
      </c>
      <c r="P60">
        <v>863</v>
      </c>
      <c r="Q60">
        <v>910</v>
      </c>
      <c r="R60">
        <v>4650</v>
      </c>
      <c r="V60" t="s">
        <v>48</v>
      </c>
      <c r="W60" t="s">
        <v>49</v>
      </c>
      <c r="X60" t="s">
        <v>50</v>
      </c>
      <c r="AA60">
        <v>43.290709999999997</v>
      </c>
      <c r="AB60">
        <v>-79.795289999999994</v>
      </c>
      <c r="AC60" t="s">
        <v>216</v>
      </c>
      <c r="AD60" t="s">
        <v>217</v>
      </c>
      <c r="AE60" t="s">
        <v>55</v>
      </c>
      <c r="AF60" t="s">
        <v>56</v>
      </c>
      <c r="AG60">
        <v>34</v>
      </c>
      <c r="AH60">
        <v>0.15160000000000001</v>
      </c>
      <c r="AI60">
        <v>-0.60650000000000004</v>
      </c>
      <c r="AJ60">
        <v>20778</v>
      </c>
      <c r="AK60">
        <v>130</v>
      </c>
      <c r="AL60">
        <v>270</v>
      </c>
      <c r="AM60">
        <v>1391</v>
      </c>
      <c r="AP60" s="3">
        <f t="shared" si="0"/>
        <v>43926.95208333333</v>
      </c>
    </row>
    <row r="61" spans="1:42" ht="14.45" hidden="1" customHeight="1" x14ac:dyDescent="0.25">
      <c r="A61" t="s">
        <v>59</v>
      </c>
      <c r="D61" t="s">
        <v>218</v>
      </c>
      <c r="E61" t="s">
        <v>219</v>
      </c>
      <c r="F61" s="1">
        <v>42535.959027777775</v>
      </c>
      <c r="G61" t="s">
        <v>44</v>
      </c>
      <c r="H61" t="s">
        <v>220</v>
      </c>
      <c r="I61" t="s">
        <v>221</v>
      </c>
      <c r="J61">
        <v>15439</v>
      </c>
      <c r="K61" t="s">
        <v>53</v>
      </c>
      <c r="L61">
        <v>1240661</v>
      </c>
      <c r="M61">
        <v>1803</v>
      </c>
      <c r="P61">
        <v>587</v>
      </c>
      <c r="R61">
        <v>2310</v>
      </c>
      <c r="V61" t="s">
        <v>48</v>
      </c>
      <c r="W61" t="s">
        <v>49</v>
      </c>
      <c r="X61" t="s">
        <v>50</v>
      </c>
      <c r="AA61">
        <v>43.290709999999997</v>
      </c>
      <c r="AB61">
        <v>-79.795289999999994</v>
      </c>
      <c r="AC61" t="s">
        <v>216</v>
      </c>
      <c r="AD61" t="s">
        <v>222</v>
      </c>
      <c r="AE61" t="s">
        <v>55</v>
      </c>
      <c r="AF61" t="s">
        <v>56</v>
      </c>
      <c r="AG61">
        <v>34</v>
      </c>
      <c r="AH61">
        <v>0.15160000000000001</v>
      </c>
      <c r="AI61">
        <v>-0.60650000000000004</v>
      </c>
      <c r="AJ61">
        <v>20778</v>
      </c>
      <c r="AK61">
        <v>130</v>
      </c>
      <c r="AL61">
        <v>270</v>
      </c>
      <c r="AM61">
        <v>1391</v>
      </c>
      <c r="AP61" s="3">
        <f t="shared" si="0"/>
        <v>43926.959027777775</v>
      </c>
    </row>
    <row r="62" spans="1:42" ht="14.45" hidden="1" customHeight="1" x14ac:dyDescent="0.25">
      <c r="A62" t="s">
        <v>59</v>
      </c>
      <c r="D62" t="s">
        <v>223</v>
      </c>
      <c r="E62" t="s">
        <v>224</v>
      </c>
      <c r="F62" s="1">
        <v>42537</v>
      </c>
      <c r="G62" t="s">
        <v>44</v>
      </c>
      <c r="H62" t="s">
        <v>225</v>
      </c>
      <c r="I62" t="s">
        <v>226</v>
      </c>
      <c r="J62">
        <v>15433</v>
      </c>
      <c r="K62" t="s">
        <v>53</v>
      </c>
      <c r="L62">
        <v>1240655</v>
      </c>
      <c r="M62">
        <v>1807</v>
      </c>
      <c r="P62">
        <v>422</v>
      </c>
      <c r="V62" t="s">
        <v>48</v>
      </c>
      <c r="W62" t="s">
        <v>49</v>
      </c>
      <c r="X62" t="s">
        <v>50</v>
      </c>
      <c r="Z62" t="s">
        <v>227</v>
      </c>
      <c r="AC62">
        <v>1054</v>
      </c>
      <c r="AD62" t="s">
        <v>228</v>
      </c>
      <c r="AE62" t="s">
        <v>55</v>
      </c>
      <c r="AF62" t="s">
        <v>56</v>
      </c>
      <c r="AG62">
        <v>34</v>
      </c>
      <c r="AH62">
        <v>0.15160000000000001</v>
      </c>
      <c r="AI62">
        <v>-0.60650000000000004</v>
      </c>
      <c r="AJ62">
        <v>20778</v>
      </c>
      <c r="AK62">
        <v>130</v>
      </c>
      <c r="AL62">
        <v>270</v>
      </c>
      <c r="AM62">
        <v>1391</v>
      </c>
      <c r="AN62" t="s">
        <v>229</v>
      </c>
      <c r="AP62" s="3">
        <f t="shared" si="0"/>
        <v>43928</v>
      </c>
    </row>
    <row r="63" spans="1:42" ht="14.45" hidden="1" customHeight="1" x14ac:dyDescent="0.25">
      <c r="A63" t="s">
        <v>65</v>
      </c>
      <c r="C63" t="s">
        <v>74</v>
      </c>
      <c r="D63" t="s">
        <v>223</v>
      </c>
      <c r="E63" t="s">
        <v>230</v>
      </c>
      <c r="F63" s="1">
        <v>42537</v>
      </c>
      <c r="G63" t="s">
        <v>44</v>
      </c>
      <c r="H63" t="s">
        <v>225</v>
      </c>
      <c r="I63" t="s">
        <v>226</v>
      </c>
      <c r="J63">
        <v>15435</v>
      </c>
      <c r="K63" t="s">
        <v>53</v>
      </c>
      <c r="L63">
        <v>1240657</v>
      </c>
      <c r="M63">
        <v>1806</v>
      </c>
      <c r="P63">
        <v>460</v>
      </c>
      <c r="R63">
        <v>1389</v>
      </c>
      <c r="V63" t="s">
        <v>48</v>
      </c>
      <c r="W63" t="s">
        <v>49</v>
      </c>
      <c r="X63" t="s">
        <v>50</v>
      </c>
      <c r="Z63" t="s">
        <v>231</v>
      </c>
      <c r="AC63">
        <v>1384</v>
      </c>
      <c r="AD63" t="s">
        <v>232</v>
      </c>
      <c r="AE63" t="s">
        <v>55</v>
      </c>
      <c r="AF63" t="s">
        <v>56</v>
      </c>
      <c r="AG63">
        <v>34</v>
      </c>
      <c r="AH63">
        <v>0.15160000000000001</v>
      </c>
      <c r="AI63">
        <v>-0.60650000000000004</v>
      </c>
      <c r="AJ63">
        <v>20778</v>
      </c>
      <c r="AK63">
        <v>130</v>
      </c>
      <c r="AL63">
        <v>270</v>
      </c>
      <c r="AM63">
        <v>1391</v>
      </c>
      <c r="AP63" s="3">
        <f t="shared" si="0"/>
        <v>43928</v>
      </c>
    </row>
    <row r="64" spans="1:42" hidden="1" x14ac:dyDescent="0.25">
      <c r="A64" t="s">
        <v>59</v>
      </c>
      <c r="D64" t="s">
        <v>43</v>
      </c>
      <c r="E64" t="s">
        <v>233</v>
      </c>
      <c r="F64" s="1">
        <v>42537</v>
      </c>
      <c r="G64" t="s">
        <v>44</v>
      </c>
      <c r="H64" t="s">
        <v>45</v>
      </c>
      <c r="I64" t="s">
        <v>46</v>
      </c>
      <c r="J64">
        <v>18972</v>
      </c>
      <c r="K64" t="s">
        <v>234</v>
      </c>
      <c r="L64">
        <v>1240691</v>
      </c>
      <c r="M64">
        <v>1808</v>
      </c>
      <c r="P64">
        <v>490</v>
      </c>
      <c r="V64" t="s">
        <v>48</v>
      </c>
      <c r="W64" t="s">
        <v>49</v>
      </c>
      <c r="X64" t="s">
        <v>50</v>
      </c>
      <c r="Z64" t="s">
        <v>227</v>
      </c>
      <c r="AC64">
        <v>1399</v>
      </c>
      <c r="AD64" t="s">
        <v>235</v>
      </c>
      <c r="AE64" t="s">
        <v>236</v>
      </c>
      <c r="AJ64">
        <v>20778</v>
      </c>
      <c r="AK64">
        <v>130</v>
      </c>
      <c r="AL64">
        <v>270</v>
      </c>
      <c r="AM64">
        <v>1830</v>
      </c>
      <c r="AP64" s="3">
        <f t="shared" si="0"/>
        <v>44367</v>
      </c>
    </row>
    <row r="65" spans="1:42" ht="14.45" hidden="1" customHeight="1" x14ac:dyDescent="0.25">
      <c r="A65" t="s">
        <v>59</v>
      </c>
      <c r="D65" t="s">
        <v>218</v>
      </c>
      <c r="E65" t="s">
        <v>237</v>
      </c>
      <c r="F65" s="1">
        <v>42537.75</v>
      </c>
      <c r="G65" t="s">
        <v>44</v>
      </c>
      <c r="H65" t="s">
        <v>220</v>
      </c>
      <c r="I65" t="s">
        <v>221</v>
      </c>
      <c r="J65">
        <v>15438</v>
      </c>
      <c r="K65" t="s">
        <v>53</v>
      </c>
      <c r="L65">
        <v>1240660</v>
      </c>
      <c r="M65">
        <v>1805</v>
      </c>
      <c r="P65" t="s">
        <v>238</v>
      </c>
      <c r="Q65" t="s">
        <v>239</v>
      </c>
      <c r="V65" t="s">
        <v>48</v>
      </c>
      <c r="W65" t="s">
        <v>49</v>
      </c>
      <c r="X65" t="s">
        <v>50</v>
      </c>
      <c r="Z65" t="s">
        <v>240</v>
      </c>
      <c r="AA65">
        <v>43.27167</v>
      </c>
      <c r="AB65">
        <v>-79.877300000000005</v>
      </c>
      <c r="AC65" t="s">
        <v>216</v>
      </c>
      <c r="AD65" t="s">
        <v>241</v>
      </c>
      <c r="AE65" t="s">
        <v>55</v>
      </c>
      <c r="AF65" t="s">
        <v>56</v>
      </c>
      <c r="AG65">
        <v>34</v>
      </c>
      <c r="AH65">
        <v>0.15160000000000001</v>
      </c>
      <c r="AI65">
        <v>-0.60650000000000004</v>
      </c>
      <c r="AJ65">
        <v>20778</v>
      </c>
      <c r="AK65">
        <v>130</v>
      </c>
      <c r="AL65">
        <v>270</v>
      </c>
      <c r="AM65">
        <v>1391</v>
      </c>
      <c r="AP65" s="3">
        <f t="shared" si="0"/>
        <v>43928.75</v>
      </c>
    </row>
    <row r="66" spans="1:42" ht="14.45" hidden="1" customHeight="1" x14ac:dyDescent="0.25">
      <c r="A66" t="s">
        <v>59</v>
      </c>
      <c r="D66" t="s">
        <v>122</v>
      </c>
      <c r="E66" t="s">
        <v>242</v>
      </c>
      <c r="F66" s="1">
        <v>42538.125</v>
      </c>
      <c r="G66" t="s">
        <v>44</v>
      </c>
      <c r="H66" t="s">
        <v>124</v>
      </c>
      <c r="I66" t="s">
        <v>125</v>
      </c>
      <c r="J66">
        <v>15452</v>
      </c>
      <c r="K66" t="s">
        <v>53</v>
      </c>
      <c r="L66">
        <v>1240674</v>
      </c>
      <c r="M66">
        <v>1809</v>
      </c>
      <c r="P66">
        <v>923</v>
      </c>
      <c r="V66" t="s">
        <v>48</v>
      </c>
      <c r="W66" t="s">
        <v>49</v>
      </c>
      <c r="X66" t="s">
        <v>50</v>
      </c>
      <c r="Z66" t="s">
        <v>243</v>
      </c>
      <c r="AA66">
        <v>43.271990000000002</v>
      </c>
      <c r="AB66">
        <v>-79.875479999999996</v>
      </c>
      <c r="AD66" t="s">
        <v>244</v>
      </c>
      <c r="AE66" t="s">
        <v>55</v>
      </c>
      <c r="AF66" t="s">
        <v>56</v>
      </c>
      <c r="AG66">
        <v>34</v>
      </c>
      <c r="AH66">
        <v>0.15160000000000001</v>
      </c>
      <c r="AI66">
        <v>-0.60650000000000004</v>
      </c>
      <c r="AJ66">
        <v>20778</v>
      </c>
      <c r="AK66">
        <v>130</v>
      </c>
      <c r="AL66">
        <v>270</v>
      </c>
      <c r="AM66">
        <v>1391</v>
      </c>
      <c r="AP66" s="3">
        <f t="shared" si="0"/>
        <v>43929.125</v>
      </c>
    </row>
    <row r="67" spans="1:42" ht="14.45" hidden="1" customHeight="1" x14ac:dyDescent="0.25">
      <c r="A67" t="s">
        <v>59</v>
      </c>
      <c r="D67" t="s">
        <v>223</v>
      </c>
      <c r="E67" t="s">
        <v>245</v>
      </c>
      <c r="F67" s="1">
        <v>42538.135416666664</v>
      </c>
      <c r="G67" t="s">
        <v>44</v>
      </c>
      <c r="H67" t="s">
        <v>225</v>
      </c>
      <c r="I67" t="s">
        <v>226</v>
      </c>
      <c r="J67">
        <v>15451</v>
      </c>
      <c r="K67" t="s">
        <v>53</v>
      </c>
      <c r="L67">
        <v>1240673</v>
      </c>
      <c r="M67">
        <v>1812</v>
      </c>
      <c r="P67">
        <v>392</v>
      </c>
      <c r="R67">
        <v>949</v>
      </c>
      <c r="V67" t="s">
        <v>48</v>
      </c>
      <c r="W67" t="s">
        <v>49</v>
      </c>
      <c r="X67" t="s">
        <v>50</v>
      </c>
      <c r="Z67" t="s">
        <v>246</v>
      </c>
      <c r="AA67">
        <v>43.271990000000002</v>
      </c>
      <c r="AB67">
        <v>-79.875479999999996</v>
      </c>
      <c r="AC67">
        <v>949</v>
      </c>
      <c r="AD67" t="s">
        <v>247</v>
      </c>
      <c r="AE67" t="s">
        <v>55</v>
      </c>
      <c r="AF67" t="s">
        <v>56</v>
      </c>
      <c r="AG67">
        <v>34</v>
      </c>
      <c r="AH67">
        <v>0.15160000000000001</v>
      </c>
      <c r="AI67">
        <v>-0.60650000000000004</v>
      </c>
      <c r="AJ67">
        <v>20778</v>
      </c>
      <c r="AK67">
        <v>130</v>
      </c>
      <c r="AL67">
        <v>270</v>
      </c>
      <c r="AM67">
        <v>1391</v>
      </c>
      <c r="AN67" t="s">
        <v>248</v>
      </c>
      <c r="AP67" s="3">
        <f t="shared" si="0"/>
        <v>43929.135416666664</v>
      </c>
    </row>
    <row r="68" spans="1:42" ht="14.45" hidden="1" customHeight="1" x14ac:dyDescent="0.25">
      <c r="A68" t="s">
        <v>42</v>
      </c>
      <c r="C68" s="2">
        <v>44516</v>
      </c>
      <c r="D68" t="s">
        <v>223</v>
      </c>
      <c r="E68" t="s">
        <v>249</v>
      </c>
      <c r="F68" s="1">
        <v>42538.135416666664</v>
      </c>
      <c r="G68" t="s">
        <v>44</v>
      </c>
      <c r="H68" t="s">
        <v>225</v>
      </c>
      <c r="I68" t="s">
        <v>226</v>
      </c>
      <c r="J68">
        <v>15454</v>
      </c>
      <c r="K68" t="s">
        <v>53</v>
      </c>
      <c r="L68">
        <v>1240676</v>
      </c>
      <c r="M68">
        <v>1811</v>
      </c>
      <c r="P68">
        <v>435</v>
      </c>
      <c r="V68" t="s">
        <v>48</v>
      </c>
      <c r="W68" t="s">
        <v>49</v>
      </c>
      <c r="X68" t="s">
        <v>50</v>
      </c>
      <c r="Z68" t="s">
        <v>246</v>
      </c>
      <c r="AA68">
        <v>43.271990000000002</v>
      </c>
      <c r="AB68">
        <v>-79.875479999999996</v>
      </c>
      <c r="AD68" t="s">
        <v>250</v>
      </c>
      <c r="AE68" t="s">
        <v>55</v>
      </c>
      <c r="AF68" t="s">
        <v>56</v>
      </c>
      <c r="AG68">
        <v>34</v>
      </c>
      <c r="AH68">
        <v>0.15160000000000001</v>
      </c>
      <c r="AI68">
        <v>-0.60650000000000004</v>
      </c>
      <c r="AJ68">
        <v>20778</v>
      </c>
      <c r="AK68">
        <v>130</v>
      </c>
      <c r="AL68">
        <v>270</v>
      </c>
      <c r="AM68">
        <v>1391</v>
      </c>
      <c r="AN68" t="s">
        <v>251</v>
      </c>
      <c r="AP68" s="3">
        <f t="shared" si="0"/>
        <v>43929.135416666664</v>
      </c>
    </row>
    <row r="69" spans="1:42" hidden="1" x14ac:dyDescent="0.25">
      <c r="A69" t="s">
        <v>65</v>
      </c>
      <c r="C69" t="s">
        <v>74</v>
      </c>
      <c r="D69" t="s">
        <v>43</v>
      </c>
      <c r="E69" t="s">
        <v>252</v>
      </c>
      <c r="F69" s="1">
        <v>42538.135416666664</v>
      </c>
      <c r="G69" t="s">
        <v>44</v>
      </c>
      <c r="H69" t="s">
        <v>45</v>
      </c>
      <c r="I69" t="s">
        <v>46</v>
      </c>
      <c r="J69">
        <v>18971</v>
      </c>
      <c r="K69" t="s">
        <v>234</v>
      </c>
      <c r="L69">
        <v>1240690</v>
      </c>
      <c r="M69">
        <v>1810</v>
      </c>
      <c r="P69">
        <v>495</v>
      </c>
      <c r="R69">
        <v>1463</v>
      </c>
      <c r="V69" t="s">
        <v>48</v>
      </c>
      <c r="W69" t="s">
        <v>49</v>
      </c>
      <c r="X69" t="s">
        <v>50</v>
      </c>
      <c r="Z69" t="s">
        <v>246</v>
      </c>
      <c r="AA69">
        <v>43.271990000000002</v>
      </c>
      <c r="AB69">
        <v>-79.875479999999996</v>
      </c>
      <c r="AC69">
        <v>1463</v>
      </c>
      <c r="AD69" t="s">
        <v>253</v>
      </c>
      <c r="AE69" t="s">
        <v>236</v>
      </c>
      <c r="AJ69">
        <v>20778</v>
      </c>
      <c r="AK69">
        <v>130</v>
      </c>
      <c r="AL69">
        <v>270</v>
      </c>
      <c r="AM69">
        <v>1830</v>
      </c>
      <c r="AP69" s="3">
        <f t="shared" si="0"/>
        <v>44368.135416666664</v>
      </c>
    </row>
    <row r="70" spans="1:42" ht="14.45" hidden="1" customHeight="1" x14ac:dyDescent="0.25">
      <c r="A70" t="s">
        <v>59</v>
      </c>
      <c r="D70" t="s">
        <v>223</v>
      </c>
      <c r="E70" t="s">
        <v>254</v>
      </c>
      <c r="F70" s="1">
        <v>42538.145833333336</v>
      </c>
      <c r="G70" t="s">
        <v>44</v>
      </c>
      <c r="H70" t="s">
        <v>225</v>
      </c>
      <c r="I70" t="s">
        <v>226</v>
      </c>
      <c r="J70">
        <v>15437</v>
      </c>
      <c r="K70" t="s">
        <v>53</v>
      </c>
      <c r="L70">
        <v>1240659</v>
      </c>
      <c r="M70">
        <v>1814</v>
      </c>
      <c r="P70">
        <v>437</v>
      </c>
      <c r="R70">
        <v>1074</v>
      </c>
      <c r="V70" t="s">
        <v>48</v>
      </c>
      <c r="W70" t="s">
        <v>49</v>
      </c>
      <c r="X70" t="s">
        <v>50</v>
      </c>
      <c r="Z70" t="s">
        <v>246</v>
      </c>
      <c r="AA70">
        <v>43.271990000000002</v>
      </c>
      <c r="AB70">
        <v>-79.875479999999996</v>
      </c>
      <c r="AC70">
        <v>1074</v>
      </c>
      <c r="AD70" t="s">
        <v>255</v>
      </c>
      <c r="AE70" t="s">
        <v>55</v>
      </c>
      <c r="AF70" t="s">
        <v>56</v>
      </c>
      <c r="AG70">
        <v>34</v>
      </c>
      <c r="AH70">
        <v>0.15160000000000001</v>
      </c>
      <c r="AI70">
        <v>-0.60650000000000004</v>
      </c>
      <c r="AJ70">
        <v>20778</v>
      </c>
      <c r="AK70">
        <v>130</v>
      </c>
      <c r="AL70">
        <v>270</v>
      </c>
      <c r="AM70">
        <v>1391</v>
      </c>
      <c r="AN70" t="s">
        <v>256</v>
      </c>
      <c r="AP70" s="3">
        <f t="shared" si="0"/>
        <v>43929.145833333336</v>
      </c>
    </row>
    <row r="71" spans="1:42" ht="14.45" hidden="1" customHeight="1" x14ac:dyDescent="0.25">
      <c r="A71" t="s">
        <v>59</v>
      </c>
      <c r="D71" t="s">
        <v>223</v>
      </c>
      <c r="E71" t="s">
        <v>257</v>
      </c>
      <c r="F71" s="1">
        <v>42538.145833333336</v>
      </c>
      <c r="G71" t="s">
        <v>44</v>
      </c>
      <c r="H71" t="s">
        <v>225</v>
      </c>
      <c r="I71" t="s">
        <v>226</v>
      </c>
      <c r="J71">
        <v>15440</v>
      </c>
      <c r="K71" t="s">
        <v>53</v>
      </c>
      <c r="L71">
        <v>1240662</v>
      </c>
      <c r="M71">
        <v>1813</v>
      </c>
      <c r="P71">
        <v>485</v>
      </c>
      <c r="R71">
        <v>1450</v>
      </c>
      <c r="V71" t="s">
        <v>48</v>
      </c>
      <c r="W71" t="s">
        <v>49</v>
      </c>
      <c r="X71" t="s">
        <v>50</v>
      </c>
      <c r="Z71" t="s">
        <v>246</v>
      </c>
      <c r="AA71">
        <v>43.271990000000002</v>
      </c>
      <c r="AB71">
        <v>-79.875479999999996</v>
      </c>
      <c r="AC71">
        <v>1450</v>
      </c>
      <c r="AD71" t="s">
        <v>258</v>
      </c>
      <c r="AE71" t="s">
        <v>55</v>
      </c>
      <c r="AF71" t="s">
        <v>56</v>
      </c>
      <c r="AG71">
        <v>34</v>
      </c>
      <c r="AH71">
        <v>0.15160000000000001</v>
      </c>
      <c r="AI71">
        <v>-0.60650000000000004</v>
      </c>
      <c r="AJ71">
        <v>20778</v>
      </c>
      <c r="AK71">
        <v>130</v>
      </c>
      <c r="AL71">
        <v>270</v>
      </c>
      <c r="AM71">
        <v>1391</v>
      </c>
      <c r="AN71" t="s">
        <v>259</v>
      </c>
      <c r="AP71" s="3">
        <f t="shared" si="0"/>
        <v>43929.145833333336</v>
      </c>
    </row>
    <row r="72" spans="1:42" ht="14.45" hidden="1" customHeight="1" x14ac:dyDescent="0.25">
      <c r="A72" t="s">
        <v>65</v>
      </c>
      <c r="C72" t="s">
        <v>74</v>
      </c>
      <c r="D72" t="s">
        <v>223</v>
      </c>
      <c r="E72" t="s">
        <v>260</v>
      </c>
      <c r="F72" s="1">
        <v>42541</v>
      </c>
      <c r="G72" t="s">
        <v>44</v>
      </c>
      <c r="H72" t="s">
        <v>225</v>
      </c>
      <c r="I72" t="s">
        <v>226</v>
      </c>
      <c r="J72">
        <v>15450</v>
      </c>
      <c r="K72" t="s">
        <v>53</v>
      </c>
      <c r="L72">
        <v>1240672</v>
      </c>
      <c r="M72">
        <v>1817</v>
      </c>
      <c r="P72">
        <v>420</v>
      </c>
      <c r="V72" t="s">
        <v>48</v>
      </c>
      <c r="W72" t="s">
        <v>49</v>
      </c>
      <c r="X72" t="s">
        <v>50</v>
      </c>
      <c r="Z72" t="s">
        <v>243</v>
      </c>
      <c r="AA72">
        <v>43.273290000000003</v>
      </c>
      <c r="AB72">
        <v>-79.869600000000005</v>
      </c>
      <c r="AC72" t="s">
        <v>138</v>
      </c>
      <c r="AD72" t="s">
        <v>261</v>
      </c>
      <c r="AE72" t="s">
        <v>55</v>
      </c>
      <c r="AF72" t="s">
        <v>56</v>
      </c>
      <c r="AG72">
        <v>34</v>
      </c>
      <c r="AH72">
        <v>0.15160000000000001</v>
      </c>
      <c r="AI72">
        <v>-0.60650000000000004</v>
      </c>
      <c r="AJ72">
        <v>20778</v>
      </c>
      <c r="AK72">
        <v>130</v>
      </c>
      <c r="AL72">
        <v>270</v>
      </c>
      <c r="AM72">
        <v>1391</v>
      </c>
      <c r="AN72" t="s">
        <v>262</v>
      </c>
      <c r="AP72" s="3">
        <f t="shared" si="0"/>
        <v>43932</v>
      </c>
    </row>
    <row r="73" spans="1:42" ht="14.45" hidden="1" customHeight="1" x14ac:dyDescent="0.25">
      <c r="A73" t="s">
        <v>59</v>
      </c>
      <c r="D73" t="s">
        <v>122</v>
      </c>
      <c r="E73" t="s">
        <v>263</v>
      </c>
      <c r="F73" s="1">
        <v>42541.006944444445</v>
      </c>
      <c r="G73" t="s">
        <v>44</v>
      </c>
      <c r="H73" t="s">
        <v>124</v>
      </c>
      <c r="I73" t="s">
        <v>125</v>
      </c>
      <c r="J73">
        <v>15448</v>
      </c>
      <c r="K73" t="s">
        <v>53</v>
      </c>
      <c r="L73">
        <v>1240670</v>
      </c>
      <c r="M73">
        <v>1815</v>
      </c>
      <c r="P73">
        <v>550</v>
      </c>
      <c r="V73" t="s">
        <v>48</v>
      </c>
      <c r="W73" t="s">
        <v>49</v>
      </c>
      <c r="X73" t="s">
        <v>50</v>
      </c>
      <c r="Z73" t="s">
        <v>264</v>
      </c>
      <c r="AA73">
        <v>43.271990000000002</v>
      </c>
      <c r="AB73">
        <v>-79.875479999999996</v>
      </c>
      <c r="AD73" t="s">
        <v>265</v>
      </c>
      <c r="AE73" t="s">
        <v>55</v>
      </c>
      <c r="AF73" t="s">
        <v>56</v>
      </c>
      <c r="AG73">
        <v>34</v>
      </c>
      <c r="AH73">
        <v>0.15160000000000001</v>
      </c>
      <c r="AI73">
        <v>-0.60650000000000004</v>
      </c>
      <c r="AJ73">
        <v>20778</v>
      </c>
      <c r="AK73">
        <v>130</v>
      </c>
      <c r="AL73">
        <v>270</v>
      </c>
      <c r="AM73">
        <v>1391</v>
      </c>
      <c r="AP73" s="3">
        <f t="shared" si="0"/>
        <v>43932.006944444445</v>
      </c>
    </row>
    <row r="74" spans="1:42" ht="14.45" hidden="1" customHeight="1" x14ac:dyDescent="0.25">
      <c r="A74" t="s">
        <v>266</v>
      </c>
      <c r="C74" s="2">
        <v>44303</v>
      </c>
      <c r="D74" t="s">
        <v>223</v>
      </c>
      <c r="E74" t="s">
        <v>267</v>
      </c>
      <c r="F74" s="1">
        <v>42541.006944444445</v>
      </c>
      <c r="G74" t="s">
        <v>44</v>
      </c>
      <c r="H74" t="s">
        <v>225</v>
      </c>
      <c r="I74" t="s">
        <v>226</v>
      </c>
      <c r="J74">
        <v>15453</v>
      </c>
      <c r="K74" t="s">
        <v>53</v>
      </c>
      <c r="L74">
        <v>1240675</v>
      </c>
      <c r="M74">
        <v>1816</v>
      </c>
      <c r="P74">
        <v>402</v>
      </c>
      <c r="V74" t="s">
        <v>48</v>
      </c>
      <c r="W74" t="s">
        <v>49</v>
      </c>
      <c r="X74" t="s">
        <v>50</v>
      </c>
      <c r="Z74" t="s">
        <v>243</v>
      </c>
      <c r="AA74">
        <v>43.273290000000003</v>
      </c>
      <c r="AB74">
        <v>-79.869600000000005</v>
      </c>
      <c r="AC74" t="s">
        <v>138</v>
      </c>
      <c r="AD74" t="s">
        <v>268</v>
      </c>
      <c r="AE74" t="s">
        <v>55</v>
      </c>
      <c r="AF74" t="s">
        <v>56</v>
      </c>
      <c r="AG74">
        <v>34</v>
      </c>
      <c r="AH74">
        <v>0.15160000000000001</v>
      </c>
      <c r="AI74">
        <v>-0.60650000000000004</v>
      </c>
      <c r="AJ74">
        <v>20778</v>
      </c>
      <c r="AK74">
        <v>130</v>
      </c>
      <c r="AL74">
        <v>270</v>
      </c>
      <c r="AM74">
        <v>1391</v>
      </c>
      <c r="AN74" t="s">
        <v>269</v>
      </c>
      <c r="AP74" s="3">
        <f t="shared" si="0"/>
        <v>43932.006944444445</v>
      </c>
    </row>
    <row r="75" spans="1:42" ht="14.45" hidden="1" customHeight="1" x14ac:dyDescent="0.25">
      <c r="A75" t="s">
        <v>65</v>
      </c>
      <c r="C75" t="s">
        <v>74</v>
      </c>
      <c r="D75" t="s">
        <v>122</v>
      </c>
      <c r="E75" t="s">
        <v>270</v>
      </c>
      <c r="F75" s="1">
        <v>42541.125</v>
      </c>
      <c r="G75" t="s">
        <v>44</v>
      </c>
      <c r="H75" t="s">
        <v>124</v>
      </c>
      <c r="I75" t="s">
        <v>125</v>
      </c>
      <c r="J75">
        <v>15447</v>
      </c>
      <c r="K75" t="s">
        <v>53</v>
      </c>
      <c r="L75">
        <v>1240669</v>
      </c>
      <c r="M75">
        <v>1819</v>
      </c>
      <c r="P75">
        <v>715</v>
      </c>
      <c r="V75" t="s">
        <v>48</v>
      </c>
      <c r="W75" t="s">
        <v>49</v>
      </c>
      <c r="X75" t="s">
        <v>50</v>
      </c>
      <c r="Z75" t="s">
        <v>271</v>
      </c>
      <c r="AA75">
        <v>43.273290000000003</v>
      </c>
      <c r="AB75">
        <v>-79.869600000000005</v>
      </c>
      <c r="AC75" t="s">
        <v>138</v>
      </c>
      <c r="AD75" t="s">
        <v>272</v>
      </c>
      <c r="AE75" t="s">
        <v>55</v>
      </c>
      <c r="AF75" t="s">
        <v>56</v>
      </c>
      <c r="AG75">
        <v>34</v>
      </c>
      <c r="AH75">
        <v>0.15160000000000001</v>
      </c>
      <c r="AI75">
        <v>-0.60650000000000004</v>
      </c>
      <c r="AJ75">
        <v>20778</v>
      </c>
      <c r="AK75">
        <v>130</v>
      </c>
      <c r="AL75">
        <v>270</v>
      </c>
      <c r="AM75">
        <v>1391</v>
      </c>
      <c r="AN75" t="s">
        <v>273</v>
      </c>
      <c r="AP75" s="3">
        <f t="shared" si="0"/>
        <v>43932.125</v>
      </c>
    </row>
    <row r="76" spans="1:42" ht="14.45" hidden="1" customHeight="1" x14ac:dyDescent="0.25">
      <c r="A76" t="s">
        <v>65</v>
      </c>
      <c r="C76" t="s">
        <v>74</v>
      </c>
      <c r="D76" t="s">
        <v>122</v>
      </c>
      <c r="E76" t="s">
        <v>274</v>
      </c>
      <c r="F76" s="1">
        <v>42541.125</v>
      </c>
      <c r="G76" t="s">
        <v>44</v>
      </c>
      <c r="H76" t="s">
        <v>124</v>
      </c>
      <c r="I76" t="s">
        <v>125</v>
      </c>
      <c r="J76">
        <v>15449</v>
      </c>
      <c r="K76" t="s">
        <v>53</v>
      </c>
      <c r="L76">
        <v>1240671</v>
      </c>
      <c r="M76">
        <v>1818</v>
      </c>
      <c r="P76">
        <v>650</v>
      </c>
      <c r="V76" t="s">
        <v>48</v>
      </c>
      <c r="W76" t="s">
        <v>49</v>
      </c>
      <c r="X76" t="s">
        <v>50</v>
      </c>
      <c r="Z76" t="s">
        <v>271</v>
      </c>
      <c r="AA76">
        <v>43.273290000000003</v>
      </c>
      <c r="AB76">
        <v>-79.869600000000005</v>
      </c>
      <c r="AC76" t="s">
        <v>138</v>
      </c>
      <c r="AD76" t="s">
        <v>275</v>
      </c>
      <c r="AE76" t="s">
        <v>55</v>
      </c>
      <c r="AF76" t="s">
        <v>56</v>
      </c>
      <c r="AG76">
        <v>34</v>
      </c>
      <c r="AH76">
        <v>0.15160000000000001</v>
      </c>
      <c r="AI76">
        <v>-0.60650000000000004</v>
      </c>
      <c r="AJ76">
        <v>20778</v>
      </c>
      <c r="AK76">
        <v>130</v>
      </c>
      <c r="AL76">
        <v>270</v>
      </c>
      <c r="AM76">
        <v>1391</v>
      </c>
      <c r="AP76" s="3">
        <f t="shared" si="0"/>
        <v>43932.125</v>
      </c>
    </row>
    <row r="77" spans="1:42" ht="14.45" hidden="1" customHeight="1" x14ac:dyDescent="0.25">
      <c r="A77" t="s">
        <v>65</v>
      </c>
      <c r="C77" t="s">
        <v>74</v>
      </c>
      <c r="D77" t="s">
        <v>223</v>
      </c>
      <c r="E77" t="s">
        <v>276</v>
      </c>
      <c r="F77" s="1">
        <v>42541.125</v>
      </c>
      <c r="G77" t="s">
        <v>44</v>
      </c>
      <c r="H77" t="s">
        <v>225</v>
      </c>
      <c r="I77" t="s">
        <v>226</v>
      </c>
      <c r="J77">
        <v>15444</v>
      </c>
      <c r="K77" t="s">
        <v>53</v>
      </c>
      <c r="L77">
        <v>1240666</v>
      </c>
      <c r="M77">
        <v>1820</v>
      </c>
      <c r="P77">
        <v>480</v>
      </c>
      <c r="V77" t="s">
        <v>48</v>
      </c>
      <c r="W77" t="s">
        <v>49</v>
      </c>
      <c r="X77" t="s">
        <v>50</v>
      </c>
      <c r="Z77" t="s">
        <v>271</v>
      </c>
      <c r="AA77">
        <v>43.273290000000003</v>
      </c>
      <c r="AB77">
        <v>-79.869600000000005</v>
      </c>
      <c r="AC77" t="s">
        <v>138</v>
      </c>
      <c r="AD77" t="s">
        <v>277</v>
      </c>
      <c r="AE77" t="s">
        <v>55</v>
      </c>
      <c r="AF77" t="s">
        <v>56</v>
      </c>
      <c r="AG77">
        <v>34</v>
      </c>
      <c r="AH77">
        <v>0.15160000000000001</v>
      </c>
      <c r="AI77">
        <v>-0.60650000000000004</v>
      </c>
      <c r="AJ77">
        <v>20778</v>
      </c>
      <c r="AK77">
        <v>130</v>
      </c>
      <c r="AL77">
        <v>270</v>
      </c>
      <c r="AM77">
        <v>1391</v>
      </c>
      <c r="AN77" t="s">
        <v>278</v>
      </c>
      <c r="AP77" s="3">
        <f t="shared" si="0"/>
        <v>43932.125</v>
      </c>
    </row>
    <row r="78" spans="1:42" hidden="1" x14ac:dyDescent="0.25">
      <c r="A78" t="s">
        <v>59</v>
      </c>
      <c r="D78" t="s">
        <v>43</v>
      </c>
      <c r="E78" t="s">
        <v>279</v>
      </c>
      <c r="F78" s="1">
        <v>42542.972916666666</v>
      </c>
      <c r="G78" t="s">
        <v>44</v>
      </c>
      <c r="H78" t="s">
        <v>45</v>
      </c>
      <c r="I78" t="s">
        <v>46</v>
      </c>
      <c r="J78">
        <v>18969</v>
      </c>
      <c r="K78" t="s">
        <v>234</v>
      </c>
      <c r="L78">
        <v>1240688</v>
      </c>
      <c r="M78">
        <v>1821</v>
      </c>
      <c r="P78">
        <v>500</v>
      </c>
      <c r="V78" t="s">
        <v>48</v>
      </c>
      <c r="W78" t="s">
        <v>49</v>
      </c>
      <c r="X78" t="s">
        <v>50</v>
      </c>
      <c r="Z78" t="s">
        <v>246</v>
      </c>
      <c r="AA78">
        <v>43.271990000000002</v>
      </c>
      <c r="AB78">
        <v>-79.875479999999996</v>
      </c>
      <c r="AC78" t="s">
        <v>138</v>
      </c>
      <c r="AD78" t="s">
        <v>280</v>
      </c>
      <c r="AE78" t="s">
        <v>236</v>
      </c>
      <c r="AJ78">
        <v>20778</v>
      </c>
      <c r="AK78">
        <v>130</v>
      </c>
      <c r="AL78">
        <v>270</v>
      </c>
      <c r="AM78">
        <v>1830</v>
      </c>
      <c r="AP78" s="3">
        <f t="shared" si="0"/>
        <v>44372.972916666666</v>
      </c>
    </row>
    <row r="79" spans="1:42" hidden="1" x14ac:dyDescent="0.25">
      <c r="A79" t="s">
        <v>59</v>
      </c>
      <c r="D79" t="s">
        <v>43</v>
      </c>
      <c r="E79" t="s">
        <v>281</v>
      </c>
      <c r="F79" s="1">
        <v>42542.989583333336</v>
      </c>
      <c r="G79" t="s">
        <v>44</v>
      </c>
      <c r="H79" t="s">
        <v>45</v>
      </c>
      <c r="I79" t="s">
        <v>46</v>
      </c>
      <c r="J79">
        <v>18970</v>
      </c>
      <c r="K79" t="s">
        <v>234</v>
      </c>
      <c r="L79">
        <v>1240689</v>
      </c>
      <c r="M79">
        <v>1822</v>
      </c>
      <c r="P79">
        <v>492</v>
      </c>
      <c r="V79" t="s">
        <v>48</v>
      </c>
      <c r="W79" t="s">
        <v>49</v>
      </c>
      <c r="X79" t="s">
        <v>50</v>
      </c>
      <c r="Z79" t="s">
        <v>246</v>
      </c>
      <c r="AA79">
        <v>43.271990000000002</v>
      </c>
      <c r="AB79">
        <v>-79.875479999999996</v>
      </c>
      <c r="AC79" t="s">
        <v>138</v>
      </c>
      <c r="AD79" t="s">
        <v>282</v>
      </c>
      <c r="AE79" t="s">
        <v>236</v>
      </c>
      <c r="AJ79">
        <v>20778</v>
      </c>
      <c r="AK79">
        <v>130</v>
      </c>
      <c r="AL79">
        <v>270</v>
      </c>
      <c r="AM79">
        <v>1830</v>
      </c>
      <c r="AP79" s="3">
        <f t="shared" si="0"/>
        <v>44372.989583333336</v>
      </c>
    </row>
    <row r="80" spans="1:42" ht="14.45" hidden="1" customHeight="1" x14ac:dyDescent="0.25">
      <c r="A80" t="s">
        <v>59</v>
      </c>
      <c r="D80" t="s">
        <v>223</v>
      </c>
      <c r="E80" t="s">
        <v>283</v>
      </c>
      <c r="F80" s="1">
        <v>42542.994444444441</v>
      </c>
      <c r="G80" t="s">
        <v>44</v>
      </c>
      <c r="H80" t="s">
        <v>225</v>
      </c>
      <c r="I80" t="s">
        <v>226</v>
      </c>
      <c r="J80">
        <v>15446</v>
      </c>
      <c r="K80" t="s">
        <v>53</v>
      </c>
      <c r="L80">
        <v>1240668</v>
      </c>
      <c r="M80">
        <v>1823</v>
      </c>
      <c r="P80">
        <v>405</v>
      </c>
      <c r="V80" t="s">
        <v>48</v>
      </c>
      <c r="W80" t="s">
        <v>49</v>
      </c>
      <c r="X80" t="s">
        <v>50</v>
      </c>
      <c r="Z80" t="s">
        <v>246</v>
      </c>
      <c r="AA80">
        <v>43.271990000000002</v>
      </c>
      <c r="AB80">
        <v>-79.875479999999996</v>
      </c>
      <c r="AC80" t="s">
        <v>138</v>
      </c>
      <c r="AD80" t="s">
        <v>284</v>
      </c>
      <c r="AE80" t="s">
        <v>55</v>
      </c>
      <c r="AF80" t="s">
        <v>56</v>
      </c>
      <c r="AG80">
        <v>34</v>
      </c>
      <c r="AH80">
        <v>0.15160000000000001</v>
      </c>
      <c r="AI80">
        <v>-0.60650000000000004</v>
      </c>
      <c r="AJ80">
        <v>20778</v>
      </c>
      <c r="AK80">
        <v>130</v>
      </c>
      <c r="AL80">
        <v>270</v>
      </c>
      <c r="AM80">
        <v>1391</v>
      </c>
      <c r="AN80" t="s">
        <v>285</v>
      </c>
      <c r="AP80" s="3">
        <f t="shared" si="0"/>
        <v>43933.994444444441</v>
      </c>
    </row>
    <row r="81" spans="1:42" ht="14.45" hidden="1" customHeight="1" x14ac:dyDescent="0.25">
      <c r="A81" t="s">
        <v>59</v>
      </c>
      <c r="C81" t="s">
        <v>286</v>
      </c>
      <c r="D81" t="s">
        <v>223</v>
      </c>
      <c r="E81" t="s">
        <v>287</v>
      </c>
      <c r="F81" s="1">
        <v>42543.002083333333</v>
      </c>
      <c r="G81" t="s">
        <v>44</v>
      </c>
      <c r="H81" t="s">
        <v>225</v>
      </c>
      <c r="I81" t="s">
        <v>226</v>
      </c>
      <c r="J81">
        <v>15443</v>
      </c>
      <c r="K81" t="s">
        <v>53</v>
      </c>
      <c r="L81">
        <v>1240665</v>
      </c>
      <c r="M81">
        <v>1824</v>
      </c>
      <c r="P81">
        <v>452</v>
      </c>
      <c r="V81" t="s">
        <v>48</v>
      </c>
      <c r="W81" t="s">
        <v>49</v>
      </c>
      <c r="X81" t="s">
        <v>50</v>
      </c>
      <c r="Z81" t="s">
        <v>246</v>
      </c>
      <c r="AA81">
        <v>43.271990000000002</v>
      </c>
      <c r="AB81">
        <v>-79.875479999999996</v>
      </c>
      <c r="AC81" t="s">
        <v>138</v>
      </c>
      <c r="AD81" t="s">
        <v>288</v>
      </c>
      <c r="AE81" t="s">
        <v>55</v>
      </c>
      <c r="AF81" t="s">
        <v>56</v>
      </c>
      <c r="AG81">
        <v>34</v>
      </c>
      <c r="AH81">
        <v>0.15160000000000001</v>
      </c>
      <c r="AI81">
        <v>-0.60650000000000004</v>
      </c>
      <c r="AJ81">
        <v>20778</v>
      </c>
      <c r="AK81">
        <v>130</v>
      </c>
      <c r="AL81">
        <v>270</v>
      </c>
      <c r="AM81">
        <v>1391</v>
      </c>
      <c r="AN81" t="s">
        <v>289</v>
      </c>
      <c r="AP81" s="3">
        <f t="shared" si="0"/>
        <v>43934.002083333333</v>
      </c>
    </row>
    <row r="82" spans="1:42" ht="14.45" hidden="1" customHeight="1" x14ac:dyDescent="0.25">
      <c r="A82" t="s">
        <v>42</v>
      </c>
      <c r="C82" s="2">
        <v>44485</v>
      </c>
      <c r="D82" t="s">
        <v>223</v>
      </c>
      <c r="E82" t="s">
        <v>290</v>
      </c>
      <c r="F82" s="1">
        <v>42543.006944444445</v>
      </c>
      <c r="G82" t="s">
        <v>44</v>
      </c>
      <c r="H82" t="s">
        <v>225</v>
      </c>
      <c r="I82" t="s">
        <v>226</v>
      </c>
      <c r="J82">
        <v>15442</v>
      </c>
      <c r="K82" t="s">
        <v>53</v>
      </c>
      <c r="L82">
        <v>1240664</v>
      </c>
      <c r="M82">
        <v>1825</v>
      </c>
      <c r="P82">
        <v>418</v>
      </c>
      <c r="V82" t="s">
        <v>48</v>
      </c>
      <c r="W82" t="s">
        <v>49</v>
      </c>
      <c r="X82" t="s">
        <v>50</v>
      </c>
      <c r="Z82" t="s">
        <v>246</v>
      </c>
      <c r="AA82">
        <v>43.271990000000002</v>
      </c>
      <c r="AB82">
        <v>-79.875479999999996</v>
      </c>
      <c r="AC82" t="s">
        <v>138</v>
      </c>
      <c r="AD82" t="s">
        <v>291</v>
      </c>
      <c r="AE82" t="s">
        <v>55</v>
      </c>
      <c r="AF82" t="s">
        <v>56</v>
      </c>
      <c r="AG82">
        <v>34</v>
      </c>
      <c r="AH82">
        <v>0.15160000000000001</v>
      </c>
      <c r="AI82">
        <v>-0.60650000000000004</v>
      </c>
      <c r="AJ82">
        <v>20778</v>
      </c>
      <c r="AK82">
        <v>130</v>
      </c>
      <c r="AL82">
        <v>270</v>
      </c>
      <c r="AM82">
        <v>1391</v>
      </c>
      <c r="AN82" t="s">
        <v>292</v>
      </c>
      <c r="AP82" s="3">
        <f t="shared" si="0"/>
        <v>43934.006944444445</v>
      </c>
    </row>
    <row r="83" spans="1:42" ht="14.45" hidden="1" customHeight="1" x14ac:dyDescent="0.25">
      <c r="A83" t="s">
        <v>42</v>
      </c>
      <c r="C83" s="2">
        <v>44516</v>
      </c>
      <c r="D83" t="s">
        <v>223</v>
      </c>
      <c r="E83" t="s">
        <v>293</v>
      </c>
      <c r="F83" s="1">
        <v>42543.012499999997</v>
      </c>
      <c r="G83" t="s">
        <v>44</v>
      </c>
      <c r="H83" t="s">
        <v>225</v>
      </c>
      <c r="I83" t="s">
        <v>226</v>
      </c>
      <c r="J83">
        <v>15441</v>
      </c>
      <c r="K83" t="s">
        <v>53</v>
      </c>
      <c r="L83">
        <v>1240663</v>
      </c>
      <c r="M83">
        <v>1827</v>
      </c>
      <c r="P83">
        <v>384</v>
      </c>
      <c r="V83" t="s">
        <v>48</v>
      </c>
      <c r="W83" t="s">
        <v>49</v>
      </c>
      <c r="X83" t="s">
        <v>50</v>
      </c>
      <c r="Z83" t="s">
        <v>246</v>
      </c>
      <c r="AA83">
        <v>43.271990000000002</v>
      </c>
      <c r="AB83">
        <v>-79.875479999999996</v>
      </c>
      <c r="AC83" t="s">
        <v>138</v>
      </c>
      <c r="AD83" t="s">
        <v>294</v>
      </c>
      <c r="AE83" t="s">
        <v>55</v>
      </c>
      <c r="AF83" t="s">
        <v>56</v>
      </c>
      <c r="AG83">
        <v>34</v>
      </c>
      <c r="AH83">
        <v>0.15160000000000001</v>
      </c>
      <c r="AI83">
        <v>-0.60650000000000004</v>
      </c>
      <c r="AJ83">
        <v>20778</v>
      </c>
      <c r="AK83">
        <v>130</v>
      </c>
      <c r="AL83">
        <v>270</v>
      </c>
      <c r="AM83">
        <v>1391</v>
      </c>
      <c r="AN83" t="s">
        <v>295</v>
      </c>
      <c r="AP83" s="3">
        <f t="shared" si="0"/>
        <v>43934.012499999997</v>
      </c>
    </row>
    <row r="84" spans="1:42" ht="14.45" hidden="1" customHeight="1" x14ac:dyDescent="0.25">
      <c r="A84" t="s">
        <v>65</v>
      </c>
      <c r="C84" t="s">
        <v>74</v>
      </c>
      <c r="D84" t="s">
        <v>223</v>
      </c>
      <c r="E84" t="s">
        <v>296</v>
      </c>
      <c r="F84" s="1">
        <v>42543.018750000003</v>
      </c>
      <c r="G84" t="s">
        <v>44</v>
      </c>
      <c r="H84" t="s">
        <v>225</v>
      </c>
      <c r="I84" t="s">
        <v>226</v>
      </c>
      <c r="J84">
        <v>15445</v>
      </c>
      <c r="K84" t="s">
        <v>53</v>
      </c>
      <c r="L84">
        <v>1240667</v>
      </c>
      <c r="M84">
        <v>1828</v>
      </c>
      <c r="P84">
        <v>435</v>
      </c>
      <c r="V84" t="s">
        <v>48</v>
      </c>
      <c r="W84" t="s">
        <v>49</v>
      </c>
      <c r="X84" t="s">
        <v>50</v>
      </c>
      <c r="Z84" t="s">
        <v>246</v>
      </c>
      <c r="AA84">
        <v>43.271990000000002</v>
      </c>
      <c r="AB84">
        <v>-79.875479999999996</v>
      </c>
      <c r="AC84" t="s">
        <v>138</v>
      </c>
      <c r="AD84" t="s">
        <v>297</v>
      </c>
      <c r="AE84" t="s">
        <v>55</v>
      </c>
      <c r="AF84" t="s">
        <v>56</v>
      </c>
      <c r="AG84">
        <v>34</v>
      </c>
      <c r="AH84">
        <v>0.15160000000000001</v>
      </c>
      <c r="AI84">
        <v>-0.60650000000000004</v>
      </c>
      <c r="AJ84">
        <v>20778</v>
      </c>
      <c r="AK84">
        <v>130</v>
      </c>
      <c r="AL84">
        <v>270</v>
      </c>
      <c r="AM84">
        <v>1391</v>
      </c>
      <c r="AN84" t="s">
        <v>298</v>
      </c>
      <c r="AP84" s="3">
        <f>F84+AM84</f>
        <v>43934.018750000003</v>
      </c>
    </row>
    <row r="85" spans="1:42" hidden="1" x14ac:dyDescent="0.25">
      <c r="A85" t="s">
        <v>59</v>
      </c>
      <c r="D85" t="s">
        <v>43</v>
      </c>
      <c r="E85" t="s">
        <v>299</v>
      </c>
      <c r="F85" s="1">
        <v>42550.455555555556</v>
      </c>
      <c r="G85" t="s">
        <v>44</v>
      </c>
      <c r="H85" t="s">
        <v>45</v>
      </c>
      <c r="I85" t="s">
        <v>46</v>
      </c>
      <c r="J85">
        <v>18973</v>
      </c>
      <c r="K85" t="s">
        <v>234</v>
      </c>
      <c r="L85">
        <v>1240692</v>
      </c>
      <c r="M85">
        <v>1829</v>
      </c>
      <c r="P85">
        <v>530</v>
      </c>
      <c r="Q85">
        <v>545</v>
      </c>
      <c r="R85">
        <v>1720</v>
      </c>
      <c r="V85" t="s">
        <v>48</v>
      </c>
      <c r="W85" t="s">
        <v>49</v>
      </c>
      <c r="X85" t="s">
        <v>50</v>
      </c>
      <c r="Z85" t="s">
        <v>300</v>
      </c>
      <c r="AA85">
        <v>43.272868000000003</v>
      </c>
      <c r="AB85">
        <v>-79.807653999999999</v>
      </c>
      <c r="AC85" t="s">
        <v>138</v>
      </c>
      <c r="AD85" t="s">
        <v>301</v>
      </c>
      <c r="AE85" t="s">
        <v>236</v>
      </c>
      <c r="AJ85">
        <v>20778</v>
      </c>
      <c r="AK85">
        <v>130</v>
      </c>
      <c r="AL85">
        <v>270</v>
      </c>
      <c r="AM85">
        <v>1830</v>
      </c>
      <c r="AP85" s="3">
        <f t="shared" si="0"/>
        <v>44380.455555555556</v>
      </c>
    </row>
    <row r="86" spans="1:42" hidden="1" x14ac:dyDescent="0.25">
      <c r="A86" t="s">
        <v>302</v>
      </c>
      <c r="C86" s="2">
        <v>44272</v>
      </c>
      <c r="D86" t="s">
        <v>43</v>
      </c>
      <c r="E86" t="s">
        <v>303</v>
      </c>
      <c r="F86" s="1">
        <v>42550.459027777775</v>
      </c>
      <c r="G86" t="s">
        <v>44</v>
      </c>
      <c r="H86" t="s">
        <v>45</v>
      </c>
      <c r="I86" t="s">
        <v>46</v>
      </c>
      <c r="J86">
        <v>18968</v>
      </c>
      <c r="K86" t="s">
        <v>234</v>
      </c>
      <c r="L86">
        <v>1240687</v>
      </c>
      <c r="M86">
        <v>1830</v>
      </c>
      <c r="P86">
        <v>528</v>
      </c>
      <c r="Q86">
        <v>560</v>
      </c>
      <c r="R86">
        <v>1880</v>
      </c>
      <c r="V86" t="s">
        <v>48</v>
      </c>
      <c r="W86" t="s">
        <v>49</v>
      </c>
      <c r="X86" t="s">
        <v>50</v>
      </c>
      <c r="Z86" t="s">
        <v>300</v>
      </c>
      <c r="AA86">
        <v>43.272868000000003</v>
      </c>
      <c r="AB86">
        <v>-79.807653999999999</v>
      </c>
      <c r="AC86" t="s">
        <v>138</v>
      </c>
      <c r="AD86" t="s">
        <v>304</v>
      </c>
      <c r="AE86" t="s">
        <v>236</v>
      </c>
      <c r="AJ86">
        <v>20778</v>
      </c>
      <c r="AK86">
        <v>130</v>
      </c>
      <c r="AL86">
        <v>270</v>
      </c>
      <c r="AM86">
        <v>1830</v>
      </c>
      <c r="AP86" s="3">
        <f t="shared" si="0"/>
        <v>44380.459027777775</v>
      </c>
    </row>
    <row r="87" spans="1:42" hidden="1" x14ac:dyDescent="0.25">
      <c r="A87" t="s">
        <v>65</v>
      </c>
      <c r="C87" t="s">
        <v>305</v>
      </c>
      <c r="D87" t="s">
        <v>43</v>
      </c>
      <c r="E87" t="s">
        <v>306</v>
      </c>
      <c r="F87" s="1">
        <v>42550.462500000001</v>
      </c>
      <c r="G87" t="s">
        <v>44</v>
      </c>
      <c r="H87" t="s">
        <v>45</v>
      </c>
      <c r="I87" t="s">
        <v>46</v>
      </c>
      <c r="J87">
        <v>18963</v>
      </c>
      <c r="K87" t="s">
        <v>234</v>
      </c>
      <c r="L87">
        <v>1240682</v>
      </c>
      <c r="M87">
        <v>1831</v>
      </c>
      <c r="P87">
        <v>520</v>
      </c>
      <c r="Q87">
        <v>555</v>
      </c>
      <c r="R87">
        <v>2060</v>
      </c>
      <c r="V87" t="s">
        <v>48</v>
      </c>
      <c r="W87" t="s">
        <v>49</v>
      </c>
      <c r="X87" t="s">
        <v>50</v>
      </c>
      <c r="Z87" t="s">
        <v>300</v>
      </c>
      <c r="AA87">
        <v>43.272868000000003</v>
      </c>
      <c r="AB87">
        <v>-79.807653999999999</v>
      </c>
      <c r="AC87" t="s">
        <v>138</v>
      </c>
      <c r="AD87" t="s">
        <v>307</v>
      </c>
      <c r="AE87" t="s">
        <v>236</v>
      </c>
      <c r="AJ87">
        <v>20778</v>
      </c>
      <c r="AK87">
        <v>130</v>
      </c>
      <c r="AL87">
        <v>270</v>
      </c>
      <c r="AM87">
        <v>1830</v>
      </c>
      <c r="AP87" s="3">
        <f t="shared" si="0"/>
        <v>44380.462500000001</v>
      </c>
    </row>
    <row r="88" spans="1:42" hidden="1" x14ac:dyDescent="0.25">
      <c r="A88" t="s">
        <v>65</v>
      </c>
      <c r="C88" t="s">
        <v>305</v>
      </c>
      <c r="D88" t="s">
        <v>43</v>
      </c>
      <c r="E88" t="s">
        <v>308</v>
      </c>
      <c r="F88" s="1">
        <v>42550.464583333334</v>
      </c>
      <c r="G88" t="s">
        <v>44</v>
      </c>
      <c r="H88" t="s">
        <v>45</v>
      </c>
      <c r="I88" t="s">
        <v>46</v>
      </c>
      <c r="J88">
        <v>18964</v>
      </c>
      <c r="K88" t="s">
        <v>234</v>
      </c>
      <c r="L88">
        <v>1240683</v>
      </c>
      <c r="M88">
        <v>1832</v>
      </c>
      <c r="P88">
        <v>518</v>
      </c>
      <c r="Q88">
        <v>555</v>
      </c>
      <c r="R88">
        <v>1800</v>
      </c>
      <c r="V88" t="s">
        <v>48</v>
      </c>
      <c r="W88" t="s">
        <v>49</v>
      </c>
      <c r="X88" t="s">
        <v>50</v>
      </c>
      <c r="Z88" t="s">
        <v>300</v>
      </c>
      <c r="AA88">
        <v>43.272868000000003</v>
      </c>
      <c r="AB88">
        <v>-79.807653999999999</v>
      </c>
      <c r="AC88" t="s">
        <v>138</v>
      </c>
      <c r="AD88" t="s">
        <v>309</v>
      </c>
      <c r="AE88" t="s">
        <v>236</v>
      </c>
      <c r="AJ88">
        <v>20778</v>
      </c>
      <c r="AK88">
        <v>130</v>
      </c>
      <c r="AL88">
        <v>270</v>
      </c>
      <c r="AM88">
        <v>1830</v>
      </c>
      <c r="AP88" s="3">
        <f t="shared" si="0"/>
        <v>44380.464583333334</v>
      </c>
    </row>
    <row r="89" spans="1:42" ht="14.45" hidden="1" customHeight="1" x14ac:dyDescent="0.25">
      <c r="A89" t="s">
        <v>59</v>
      </c>
      <c r="D89" t="s">
        <v>218</v>
      </c>
      <c r="E89" t="s">
        <v>310</v>
      </c>
      <c r="F89" s="1">
        <v>42550.468055555553</v>
      </c>
      <c r="G89" t="s">
        <v>44</v>
      </c>
      <c r="H89" t="s">
        <v>220</v>
      </c>
      <c r="I89" t="s">
        <v>221</v>
      </c>
      <c r="J89">
        <v>15218</v>
      </c>
      <c r="K89" t="s">
        <v>53</v>
      </c>
      <c r="L89">
        <v>1248055</v>
      </c>
      <c r="M89">
        <v>1833</v>
      </c>
      <c r="Q89">
        <v>637</v>
      </c>
      <c r="R89">
        <v>3650</v>
      </c>
      <c r="S89" t="s">
        <v>202</v>
      </c>
      <c r="V89" t="s">
        <v>48</v>
      </c>
      <c r="W89" t="s">
        <v>49</v>
      </c>
      <c r="X89" t="s">
        <v>50</v>
      </c>
      <c r="Z89" t="s">
        <v>300</v>
      </c>
      <c r="AA89">
        <v>43.272868000000003</v>
      </c>
      <c r="AB89">
        <v>-79.807653999999999</v>
      </c>
      <c r="AC89" t="s">
        <v>138</v>
      </c>
      <c r="AD89" t="s">
        <v>311</v>
      </c>
      <c r="AE89" t="s">
        <v>55</v>
      </c>
      <c r="AF89" t="s">
        <v>56</v>
      </c>
      <c r="AG89">
        <v>34</v>
      </c>
      <c r="AH89">
        <v>0.15160000000000001</v>
      </c>
      <c r="AI89">
        <v>-0.60650000000000004</v>
      </c>
      <c r="AJ89">
        <v>21449</v>
      </c>
      <c r="AK89">
        <v>130</v>
      </c>
      <c r="AL89">
        <v>270</v>
      </c>
      <c r="AM89">
        <v>1386</v>
      </c>
      <c r="AP89" s="3">
        <v>43936.468055555553</v>
      </c>
    </row>
    <row r="90" spans="1:42" ht="14.45" hidden="1" customHeight="1" x14ac:dyDescent="0.25">
      <c r="A90" t="s">
        <v>42</v>
      </c>
      <c r="D90" t="s">
        <v>218</v>
      </c>
      <c r="F90" s="1">
        <v>42550.472222222219</v>
      </c>
      <c r="G90" t="s">
        <v>44</v>
      </c>
      <c r="H90" t="s">
        <v>220</v>
      </c>
      <c r="I90" t="s">
        <v>221</v>
      </c>
      <c r="M90" t="s">
        <v>47</v>
      </c>
      <c r="V90" t="s">
        <v>48</v>
      </c>
      <c r="W90" t="s">
        <v>49</v>
      </c>
      <c r="X90" t="s">
        <v>50</v>
      </c>
      <c r="Z90" t="s">
        <v>300</v>
      </c>
      <c r="AN90" t="s">
        <v>312</v>
      </c>
    </row>
    <row r="91" spans="1:42" ht="14.45" hidden="1" customHeight="1" x14ac:dyDescent="0.25">
      <c r="A91" t="s">
        <v>65</v>
      </c>
      <c r="C91" t="s">
        <v>74</v>
      </c>
      <c r="D91" t="s">
        <v>218</v>
      </c>
      <c r="E91" t="s">
        <v>313</v>
      </c>
      <c r="F91" s="1">
        <v>42550.476388888892</v>
      </c>
      <c r="G91" t="s">
        <v>44</v>
      </c>
      <c r="H91" t="s">
        <v>220</v>
      </c>
      <c r="I91" t="s">
        <v>221</v>
      </c>
      <c r="J91">
        <v>15215</v>
      </c>
      <c r="K91" t="s">
        <v>53</v>
      </c>
      <c r="L91">
        <v>1248052</v>
      </c>
      <c r="M91">
        <v>1835</v>
      </c>
      <c r="Q91">
        <v>709</v>
      </c>
      <c r="R91">
        <v>5310</v>
      </c>
      <c r="V91" t="s">
        <v>48</v>
      </c>
      <c r="W91" t="s">
        <v>49</v>
      </c>
      <c r="X91" t="s">
        <v>50</v>
      </c>
      <c r="Z91" t="s">
        <v>300</v>
      </c>
      <c r="AA91">
        <v>43.272868000000003</v>
      </c>
      <c r="AB91">
        <v>-79.807653999999999</v>
      </c>
      <c r="AC91" t="s">
        <v>138</v>
      </c>
      <c r="AD91" t="s">
        <v>314</v>
      </c>
      <c r="AE91" t="s">
        <v>55</v>
      </c>
      <c r="AF91" t="s">
        <v>56</v>
      </c>
      <c r="AG91">
        <v>34</v>
      </c>
      <c r="AH91">
        <v>0.15160000000000001</v>
      </c>
      <c r="AI91">
        <v>-0.60650000000000004</v>
      </c>
      <c r="AJ91">
        <v>21449</v>
      </c>
      <c r="AK91">
        <v>130</v>
      </c>
      <c r="AL91">
        <v>270</v>
      </c>
      <c r="AM91">
        <v>1386</v>
      </c>
      <c r="AP91" s="3">
        <v>43936.476388888892</v>
      </c>
    </row>
    <row r="92" spans="1:42" ht="14.45" hidden="1" customHeight="1" x14ac:dyDescent="0.25">
      <c r="A92" t="s">
        <v>59</v>
      </c>
      <c r="D92" t="s">
        <v>218</v>
      </c>
      <c r="E92" t="s">
        <v>315</v>
      </c>
      <c r="F92" s="1">
        <v>42550.479861111111</v>
      </c>
      <c r="G92" t="s">
        <v>44</v>
      </c>
      <c r="H92" t="s">
        <v>220</v>
      </c>
      <c r="I92" t="s">
        <v>221</v>
      </c>
      <c r="J92">
        <v>15216</v>
      </c>
      <c r="K92" t="s">
        <v>53</v>
      </c>
      <c r="L92">
        <v>1248053</v>
      </c>
      <c r="M92">
        <v>1836</v>
      </c>
      <c r="Q92">
        <v>609</v>
      </c>
      <c r="R92">
        <v>3010</v>
      </c>
      <c r="V92" t="s">
        <v>48</v>
      </c>
      <c r="W92" t="s">
        <v>49</v>
      </c>
      <c r="X92" t="s">
        <v>50</v>
      </c>
      <c r="Z92" t="s">
        <v>300</v>
      </c>
      <c r="AA92">
        <v>43.272868000000003</v>
      </c>
      <c r="AB92">
        <v>-79.807653999999999</v>
      </c>
      <c r="AC92" t="s">
        <v>138</v>
      </c>
      <c r="AD92" t="s">
        <v>316</v>
      </c>
      <c r="AE92" t="s">
        <v>55</v>
      </c>
      <c r="AF92" t="s">
        <v>56</v>
      </c>
      <c r="AG92">
        <v>34</v>
      </c>
      <c r="AH92">
        <v>0.15160000000000001</v>
      </c>
      <c r="AI92">
        <v>-0.60650000000000004</v>
      </c>
      <c r="AJ92">
        <v>21449</v>
      </c>
      <c r="AK92">
        <v>130</v>
      </c>
      <c r="AL92">
        <v>270</v>
      </c>
      <c r="AM92">
        <v>1386</v>
      </c>
      <c r="AP92" s="3">
        <v>43936.479861111111</v>
      </c>
    </row>
    <row r="93" spans="1:42" ht="14.45" hidden="1" customHeight="1" x14ac:dyDescent="0.25">
      <c r="A93" t="s">
        <v>59</v>
      </c>
      <c r="D93" t="s">
        <v>317</v>
      </c>
      <c r="E93" t="s">
        <v>318</v>
      </c>
      <c r="F93" s="1">
        <v>42550.529166666667</v>
      </c>
      <c r="G93" t="s">
        <v>44</v>
      </c>
      <c r="H93" t="s">
        <v>319</v>
      </c>
      <c r="I93" t="s">
        <v>320</v>
      </c>
      <c r="J93">
        <v>15217</v>
      </c>
      <c r="K93" t="s">
        <v>53</v>
      </c>
      <c r="L93">
        <v>1248054</v>
      </c>
      <c r="Q93">
        <v>680</v>
      </c>
      <c r="R93">
        <v>680</v>
      </c>
      <c r="V93" t="s">
        <v>48</v>
      </c>
      <c r="W93" t="s">
        <v>49</v>
      </c>
      <c r="X93" t="s">
        <v>50</v>
      </c>
      <c r="Z93" t="s">
        <v>300</v>
      </c>
      <c r="AA93">
        <v>43.272868000000003</v>
      </c>
      <c r="AB93">
        <v>-79.807653999999999</v>
      </c>
      <c r="AC93" t="s">
        <v>138</v>
      </c>
      <c r="AD93" t="s">
        <v>321</v>
      </c>
      <c r="AE93" t="s">
        <v>55</v>
      </c>
      <c r="AF93" t="s">
        <v>56</v>
      </c>
      <c r="AG93">
        <v>34</v>
      </c>
      <c r="AH93">
        <v>0.15160000000000001</v>
      </c>
      <c r="AI93">
        <v>-0.60650000000000004</v>
      </c>
      <c r="AJ93">
        <v>21449</v>
      </c>
      <c r="AK93">
        <v>130</v>
      </c>
      <c r="AL93">
        <v>270</v>
      </c>
      <c r="AM93">
        <v>1386</v>
      </c>
      <c r="AN93" t="s">
        <v>322</v>
      </c>
      <c r="AP93" s="3">
        <v>43936.529166666667</v>
      </c>
    </row>
    <row r="94" spans="1:42" ht="14.45" hidden="1" customHeight="1" x14ac:dyDescent="0.25">
      <c r="A94" t="s">
        <v>83</v>
      </c>
      <c r="C94" s="2">
        <v>44485</v>
      </c>
      <c r="D94" t="s">
        <v>317</v>
      </c>
      <c r="E94" t="s">
        <v>323</v>
      </c>
      <c r="F94" s="1">
        <v>42550.544444444444</v>
      </c>
      <c r="G94" t="s">
        <v>44</v>
      </c>
      <c r="H94" t="s">
        <v>319</v>
      </c>
      <c r="I94" t="s">
        <v>320</v>
      </c>
      <c r="J94">
        <v>15214</v>
      </c>
      <c r="K94" t="s">
        <v>53</v>
      </c>
      <c r="L94">
        <v>1248051</v>
      </c>
      <c r="Q94">
        <v>834</v>
      </c>
      <c r="R94">
        <v>1290</v>
      </c>
      <c r="V94" t="s">
        <v>48</v>
      </c>
      <c r="W94" t="s">
        <v>49</v>
      </c>
      <c r="X94" t="s">
        <v>50</v>
      </c>
      <c r="Z94" t="s">
        <v>300</v>
      </c>
      <c r="AA94">
        <v>43.272868000000003</v>
      </c>
      <c r="AB94">
        <v>-79.807653999999999</v>
      </c>
      <c r="AC94" t="s">
        <v>138</v>
      </c>
      <c r="AD94" t="s">
        <v>324</v>
      </c>
      <c r="AE94" t="s">
        <v>55</v>
      </c>
      <c r="AF94" t="s">
        <v>56</v>
      </c>
      <c r="AG94">
        <v>34</v>
      </c>
      <c r="AH94">
        <v>0.15160000000000001</v>
      </c>
      <c r="AI94">
        <v>-0.60650000000000004</v>
      </c>
      <c r="AJ94">
        <v>21449</v>
      </c>
      <c r="AK94">
        <v>130</v>
      </c>
      <c r="AL94">
        <v>270</v>
      </c>
      <c r="AM94">
        <v>1386</v>
      </c>
      <c r="AP94" s="3">
        <v>43936.544444444444</v>
      </c>
    </row>
    <row r="95" spans="1:42" ht="14.45" hidden="1" customHeight="1" x14ac:dyDescent="0.25">
      <c r="A95" t="s">
        <v>65</v>
      </c>
      <c r="C95" t="s">
        <v>74</v>
      </c>
      <c r="D95" t="s">
        <v>317</v>
      </c>
      <c r="E95" t="s">
        <v>325</v>
      </c>
      <c r="F95" s="1">
        <v>42550.552777777775</v>
      </c>
      <c r="G95" t="s">
        <v>44</v>
      </c>
      <c r="H95" t="s">
        <v>319</v>
      </c>
      <c r="I95" t="s">
        <v>320</v>
      </c>
      <c r="J95">
        <v>15210</v>
      </c>
      <c r="K95" t="s">
        <v>53</v>
      </c>
      <c r="L95">
        <v>1248047</v>
      </c>
      <c r="Q95">
        <v>902</v>
      </c>
      <c r="R95">
        <v>1330</v>
      </c>
      <c r="V95" t="s">
        <v>48</v>
      </c>
      <c r="W95" t="s">
        <v>49</v>
      </c>
      <c r="X95" t="s">
        <v>50</v>
      </c>
      <c r="Z95" t="s">
        <v>300</v>
      </c>
      <c r="AA95">
        <v>43.272868000000003</v>
      </c>
      <c r="AB95">
        <v>-79.807653999999999</v>
      </c>
      <c r="AC95" t="s">
        <v>138</v>
      </c>
      <c r="AD95" t="s">
        <v>326</v>
      </c>
      <c r="AE95" t="s">
        <v>55</v>
      </c>
      <c r="AF95" t="s">
        <v>56</v>
      </c>
      <c r="AG95">
        <v>34</v>
      </c>
      <c r="AH95">
        <v>0.15160000000000001</v>
      </c>
      <c r="AI95">
        <v>-0.60650000000000004</v>
      </c>
      <c r="AJ95">
        <v>21449</v>
      </c>
      <c r="AK95">
        <v>130</v>
      </c>
      <c r="AL95">
        <v>270</v>
      </c>
      <c r="AM95">
        <v>1386</v>
      </c>
      <c r="AP95" s="3">
        <v>43936.552777777775</v>
      </c>
    </row>
    <row r="96" spans="1:42" ht="14.45" hidden="1" customHeight="1" x14ac:dyDescent="0.25">
      <c r="A96" t="s">
        <v>59</v>
      </c>
      <c r="D96" t="s">
        <v>317</v>
      </c>
      <c r="E96" t="s">
        <v>327</v>
      </c>
      <c r="F96" s="1">
        <v>42550.5625</v>
      </c>
      <c r="G96" t="s">
        <v>44</v>
      </c>
      <c r="H96" t="s">
        <v>319</v>
      </c>
      <c r="I96" t="s">
        <v>320</v>
      </c>
      <c r="J96">
        <v>15211</v>
      </c>
      <c r="K96" t="s">
        <v>53</v>
      </c>
      <c r="L96">
        <v>1248048</v>
      </c>
      <c r="Q96">
        <v>781</v>
      </c>
      <c r="R96">
        <v>1110</v>
      </c>
      <c r="V96" t="s">
        <v>48</v>
      </c>
      <c r="W96" t="s">
        <v>49</v>
      </c>
      <c r="X96" t="s">
        <v>50</v>
      </c>
      <c r="Z96" t="s">
        <v>300</v>
      </c>
      <c r="AA96">
        <v>43.272868000000003</v>
      </c>
      <c r="AB96">
        <v>-79.807653999999999</v>
      </c>
      <c r="AC96" t="s">
        <v>138</v>
      </c>
      <c r="AD96" t="s">
        <v>328</v>
      </c>
      <c r="AE96" t="s">
        <v>55</v>
      </c>
      <c r="AF96" t="s">
        <v>56</v>
      </c>
      <c r="AG96">
        <v>34</v>
      </c>
      <c r="AH96">
        <v>0.15160000000000001</v>
      </c>
      <c r="AI96">
        <v>-0.60650000000000004</v>
      </c>
      <c r="AJ96">
        <v>21449</v>
      </c>
      <c r="AK96">
        <v>130</v>
      </c>
      <c r="AL96">
        <v>270</v>
      </c>
      <c r="AM96">
        <v>1386</v>
      </c>
      <c r="AP96" s="3">
        <v>43936.5625</v>
      </c>
    </row>
    <row r="97" spans="1:42" ht="14.45" hidden="1" customHeight="1" x14ac:dyDescent="0.25">
      <c r="A97" t="s">
        <v>59</v>
      </c>
      <c r="D97" t="s">
        <v>317</v>
      </c>
      <c r="E97" t="s">
        <v>329</v>
      </c>
      <c r="F97" s="1">
        <v>42550.573611111111</v>
      </c>
      <c r="G97" t="s">
        <v>44</v>
      </c>
      <c r="H97" t="s">
        <v>319</v>
      </c>
      <c r="I97" t="s">
        <v>320</v>
      </c>
      <c r="J97">
        <v>15212</v>
      </c>
      <c r="K97" t="s">
        <v>53</v>
      </c>
      <c r="L97">
        <v>1248049</v>
      </c>
      <c r="Q97">
        <v>858</v>
      </c>
      <c r="R97">
        <v>1650</v>
      </c>
      <c r="V97" t="s">
        <v>48</v>
      </c>
      <c r="W97" t="s">
        <v>49</v>
      </c>
      <c r="X97" t="s">
        <v>50</v>
      </c>
      <c r="Z97" t="s">
        <v>300</v>
      </c>
      <c r="AA97">
        <v>43.272868000000003</v>
      </c>
      <c r="AB97">
        <v>-79.807653999999999</v>
      </c>
      <c r="AC97" t="s">
        <v>138</v>
      </c>
      <c r="AD97" t="s">
        <v>330</v>
      </c>
      <c r="AE97" t="s">
        <v>55</v>
      </c>
      <c r="AF97" t="s">
        <v>56</v>
      </c>
      <c r="AG97">
        <v>34</v>
      </c>
      <c r="AH97">
        <v>0.15160000000000001</v>
      </c>
      <c r="AI97">
        <v>-0.60650000000000004</v>
      </c>
      <c r="AJ97">
        <v>21449</v>
      </c>
      <c r="AK97">
        <v>130</v>
      </c>
      <c r="AL97">
        <v>270</v>
      </c>
      <c r="AM97">
        <v>1386</v>
      </c>
      <c r="AP97" s="3">
        <v>43936.573611111111</v>
      </c>
    </row>
    <row r="98" spans="1:42" ht="14.45" hidden="1" customHeight="1" x14ac:dyDescent="0.25">
      <c r="A98" t="s">
        <v>59</v>
      </c>
      <c r="D98" t="s">
        <v>317</v>
      </c>
      <c r="E98" t="s">
        <v>331</v>
      </c>
      <c r="F98" s="1">
        <v>42550.590277777781</v>
      </c>
      <c r="G98" t="s">
        <v>44</v>
      </c>
      <c r="H98" t="s">
        <v>319</v>
      </c>
      <c r="I98" t="s">
        <v>320</v>
      </c>
      <c r="J98">
        <v>15213</v>
      </c>
      <c r="K98" t="s">
        <v>53</v>
      </c>
      <c r="L98">
        <v>1248050</v>
      </c>
      <c r="Q98">
        <v>752</v>
      </c>
      <c r="R98">
        <v>970</v>
      </c>
      <c r="V98" t="s">
        <v>48</v>
      </c>
      <c r="W98" t="s">
        <v>49</v>
      </c>
      <c r="X98" t="s">
        <v>50</v>
      </c>
      <c r="Z98" t="s">
        <v>300</v>
      </c>
      <c r="AA98">
        <v>43.272868000000003</v>
      </c>
      <c r="AB98">
        <v>-79.807653999999999</v>
      </c>
      <c r="AC98" t="s">
        <v>138</v>
      </c>
      <c r="AD98" t="s">
        <v>332</v>
      </c>
      <c r="AE98" t="s">
        <v>55</v>
      </c>
      <c r="AF98" t="s">
        <v>56</v>
      </c>
      <c r="AG98">
        <v>34</v>
      </c>
      <c r="AH98">
        <v>0.15160000000000001</v>
      </c>
      <c r="AI98">
        <v>-0.60650000000000004</v>
      </c>
      <c r="AJ98">
        <v>21449</v>
      </c>
      <c r="AK98">
        <v>130</v>
      </c>
      <c r="AL98">
        <v>270</v>
      </c>
      <c r="AM98">
        <v>1386</v>
      </c>
      <c r="AP98" s="3">
        <v>43936.590277777781</v>
      </c>
    </row>
    <row r="99" spans="1:42" ht="14.45" hidden="1" customHeight="1" x14ac:dyDescent="0.25">
      <c r="A99" t="s">
        <v>42</v>
      </c>
      <c r="C99" s="2">
        <v>44333</v>
      </c>
      <c r="D99" t="s">
        <v>317</v>
      </c>
      <c r="E99" t="s">
        <v>333</v>
      </c>
      <c r="F99" s="1">
        <v>42550.601388888892</v>
      </c>
      <c r="G99" t="s">
        <v>44</v>
      </c>
      <c r="H99" t="s">
        <v>319</v>
      </c>
      <c r="I99" t="s">
        <v>320</v>
      </c>
      <c r="J99">
        <v>15206</v>
      </c>
      <c r="K99" t="s">
        <v>53</v>
      </c>
      <c r="L99">
        <v>1248043</v>
      </c>
      <c r="Q99">
        <v>704</v>
      </c>
      <c r="R99">
        <v>790</v>
      </c>
      <c r="V99" t="s">
        <v>48</v>
      </c>
      <c r="W99" t="s">
        <v>49</v>
      </c>
      <c r="X99" t="s">
        <v>50</v>
      </c>
      <c r="Z99" t="s">
        <v>300</v>
      </c>
      <c r="AA99">
        <v>43.272868000000003</v>
      </c>
      <c r="AB99">
        <v>-79.807653999999999</v>
      </c>
      <c r="AC99" t="s">
        <v>138</v>
      </c>
      <c r="AD99" t="s">
        <v>334</v>
      </c>
      <c r="AE99" t="s">
        <v>55</v>
      </c>
      <c r="AF99" t="s">
        <v>56</v>
      </c>
      <c r="AG99">
        <v>34</v>
      </c>
      <c r="AH99">
        <v>0.15160000000000001</v>
      </c>
      <c r="AI99">
        <v>-0.60650000000000004</v>
      </c>
      <c r="AJ99">
        <v>21449</v>
      </c>
      <c r="AK99">
        <v>130</v>
      </c>
      <c r="AL99">
        <v>270</v>
      </c>
      <c r="AM99">
        <v>1386</v>
      </c>
      <c r="AP99" s="3">
        <v>43936.601388888892</v>
      </c>
    </row>
    <row r="100" spans="1:42" ht="14.45" hidden="1" customHeight="1" x14ac:dyDescent="0.25">
      <c r="A100" t="s">
        <v>59</v>
      </c>
      <c r="D100" t="s">
        <v>317</v>
      </c>
      <c r="E100" t="s">
        <v>335</v>
      </c>
      <c r="F100" s="1">
        <v>42550.606944444444</v>
      </c>
      <c r="G100" t="s">
        <v>44</v>
      </c>
      <c r="H100" t="s">
        <v>319</v>
      </c>
      <c r="I100" t="s">
        <v>320</v>
      </c>
      <c r="J100">
        <v>15207</v>
      </c>
      <c r="K100" t="s">
        <v>53</v>
      </c>
      <c r="L100">
        <v>1248044</v>
      </c>
      <c r="Q100">
        <v>728</v>
      </c>
      <c r="R100">
        <v>1000</v>
      </c>
      <c r="V100" t="s">
        <v>48</v>
      </c>
      <c r="W100" t="s">
        <v>49</v>
      </c>
      <c r="X100" t="s">
        <v>50</v>
      </c>
      <c r="Z100" t="s">
        <v>300</v>
      </c>
      <c r="AA100">
        <v>43.272868000000003</v>
      </c>
      <c r="AB100">
        <v>-79.807653999999999</v>
      </c>
      <c r="AC100" t="s">
        <v>138</v>
      </c>
      <c r="AD100" t="s">
        <v>336</v>
      </c>
      <c r="AE100" t="s">
        <v>55</v>
      </c>
      <c r="AF100" t="s">
        <v>56</v>
      </c>
      <c r="AG100">
        <v>34</v>
      </c>
      <c r="AH100">
        <v>0.15160000000000001</v>
      </c>
      <c r="AI100">
        <v>-0.60650000000000004</v>
      </c>
      <c r="AJ100">
        <v>21449</v>
      </c>
      <c r="AK100">
        <v>130</v>
      </c>
      <c r="AL100">
        <v>270</v>
      </c>
      <c r="AM100">
        <v>1386</v>
      </c>
      <c r="AP100" s="3">
        <v>43936.606944444444</v>
      </c>
    </row>
    <row r="101" spans="1:42" ht="14.45" hidden="1" customHeight="1" x14ac:dyDescent="0.25">
      <c r="A101" t="s">
        <v>59</v>
      </c>
      <c r="D101" t="s">
        <v>317</v>
      </c>
      <c r="E101" t="s">
        <v>337</v>
      </c>
      <c r="F101" s="1">
        <v>42550.611805555556</v>
      </c>
      <c r="G101" t="s">
        <v>44</v>
      </c>
      <c r="H101" t="s">
        <v>319</v>
      </c>
      <c r="I101" t="s">
        <v>320</v>
      </c>
      <c r="J101">
        <v>15208</v>
      </c>
      <c r="K101" t="s">
        <v>53</v>
      </c>
      <c r="L101">
        <v>1248045</v>
      </c>
      <c r="Q101">
        <v>727</v>
      </c>
      <c r="R101">
        <v>910</v>
      </c>
      <c r="V101" t="s">
        <v>48</v>
      </c>
      <c r="W101" t="s">
        <v>49</v>
      </c>
      <c r="X101" t="s">
        <v>50</v>
      </c>
      <c r="Z101" t="s">
        <v>300</v>
      </c>
      <c r="AA101">
        <v>43.272868000000003</v>
      </c>
      <c r="AB101">
        <v>-79.807653999999999</v>
      </c>
      <c r="AC101" t="s">
        <v>138</v>
      </c>
      <c r="AD101" t="s">
        <v>338</v>
      </c>
      <c r="AE101" t="s">
        <v>55</v>
      </c>
      <c r="AF101" t="s">
        <v>56</v>
      </c>
      <c r="AG101">
        <v>34</v>
      </c>
      <c r="AH101">
        <v>0.15160000000000001</v>
      </c>
      <c r="AI101">
        <v>-0.60650000000000004</v>
      </c>
      <c r="AJ101">
        <v>21449</v>
      </c>
      <c r="AK101">
        <v>130</v>
      </c>
      <c r="AL101">
        <v>270</v>
      </c>
      <c r="AM101">
        <v>1386</v>
      </c>
      <c r="AP101" s="3">
        <v>43936.611805555556</v>
      </c>
    </row>
    <row r="102" spans="1:42" ht="14.45" hidden="1" customHeight="1" x14ac:dyDescent="0.25">
      <c r="A102" t="s">
        <v>59</v>
      </c>
      <c r="D102" t="s">
        <v>317</v>
      </c>
      <c r="E102" t="s">
        <v>339</v>
      </c>
      <c r="F102" s="1">
        <v>42550.618750000001</v>
      </c>
      <c r="G102" t="s">
        <v>44</v>
      </c>
      <c r="H102" t="s">
        <v>319</v>
      </c>
      <c r="I102" t="s">
        <v>320</v>
      </c>
      <c r="J102">
        <v>15209</v>
      </c>
      <c r="K102" t="s">
        <v>53</v>
      </c>
      <c r="L102">
        <v>1248046</v>
      </c>
      <c r="Q102">
        <v>978</v>
      </c>
      <c r="R102">
        <v>2370</v>
      </c>
      <c r="V102" t="s">
        <v>48</v>
      </c>
      <c r="W102" t="s">
        <v>49</v>
      </c>
      <c r="X102" t="s">
        <v>50</v>
      </c>
      <c r="Z102" t="s">
        <v>300</v>
      </c>
      <c r="AA102">
        <v>43.272868000000003</v>
      </c>
      <c r="AB102">
        <v>-79.807653999999999</v>
      </c>
      <c r="AC102" t="s">
        <v>138</v>
      </c>
      <c r="AD102" t="s">
        <v>340</v>
      </c>
      <c r="AE102" t="s">
        <v>55</v>
      </c>
      <c r="AF102" t="s">
        <v>56</v>
      </c>
      <c r="AG102">
        <v>34</v>
      </c>
      <c r="AH102">
        <v>0.15160000000000001</v>
      </c>
      <c r="AI102">
        <v>-0.60650000000000004</v>
      </c>
      <c r="AJ102">
        <v>21449</v>
      </c>
      <c r="AK102">
        <v>130</v>
      </c>
      <c r="AL102">
        <v>270</v>
      </c>
      <c r="AM102">
        <v>1386</v>
      </c>
      <c r="AP102" s="3">
        <v>43936.618750000001</v>
      </c>
    </row>
    <row r="103" spans="1:42" hidden="1" x14ac:dyDescent="0.25">
      <c r="A103" t="s">
        <v>59</v>
      </c>
      <c r="D103" t="s">
        <v>43</v>
      </c>
      <c r="E103" t="s">
        <v>341</v>
      </c>
      <c r="F103" s="1">
        <v>42551.420138888891</v>
      </c>
      <c r="G103" t="s">
        <v>44</v>
      </c>
      <c r="H103" t="s">
        <v>45</v>
      </c>
      <c r="I103" t="s">
        <v>46</v>
      </c>
      <c r="J103">
        <v>18965</v>
      </c>
      <c r="K103" t="s">
        <v>234</v>
      </c>
      <c r="L103">
        <v>1240684</v>
      </c>
      <c r="M103" t="s">
        <v>342</v>
      </c>
      <c r="P103">
        <v>559</v>
      </c>
      <c r="Q103">
        <v>590</v>
      </c>
      <c r="R103">
        <v>2230</v>
      </c>
      <c r="V103" t="s">
        <v>48</v>
      </c>
      <c r="W103" t="s">
        <v>49</v>
      </c>
      <c r="X103" t="s">
        <v>50</v>
      </c>
      <c r="Z103" t="s">
        <v>300</v>
      </c>
      <c r="AA103">
        <v>43.272868000000003</v>
      </c>
      <c r="AB103">
        <v>-79.807653999999999</v>
      </c>
      <c r="AC103" t="s">
        <v>138</v>
      </c>
      <c r="AD103" t="s">
        <v>343</v>
      </c>
      <c r="AE103" t="s">
        <v>236</v>
      </c>
      <c r="AJ103">
        <v>20778</v>
      </c>
      <c r="AK103">
        <v>130</v>
      </c>
      <c r="AL103">
        <v>270</v>
      </c>
      <c r="AM103">
        <v>1830</v>
      </c>
      <c r="AN103" t="s">
        <v>344</v>
      </c>
      <c r="AP103" s="3">
        <f t="shared" ref="AP103:AP105" si="1">F103+AM103</f>
        <v>44381.420138888891</v>
      </c>
    </row>
    <row r="104" spans="1:42" hidden="1" x14ac:dyDescent="0.25">
      <c r="A104" t="s">
        <v>59</v>
      </c>
      <c r="D104" t="s">
        <v>43</v>
      </c>
      <c r="E104" t="s">
        <v>345</v>
      </c>
      <c r="F104" s="1">
        <v>42551.423611111109</v>
      </c>
      <c r="G104" t="s">
        <v>44</v>
      </c>
      <c r="H104" t="s">
        <v>45</v>
      </c>
      <c r="I104" t="s">
        <v>46</v>
      </c>
      <c r="J104">
        <v>18966</v>
      </c>
      <c r="K104" t="s">
        <v>234</v>
      </c>
      <c r="L104">
        <v>1240685</v>
      </c>
      <c r="M104" t="s">
        <v>342</v>
      </c>
      <c r="P104">
        <v>529</v>
      </c>
      <c r="Q104">
        <v>557</v>
      </c>
      <c r="R104">
        <v>1770</v>
      </c>
      <c r="V104" t="s">
        <v>48</v>
      </c>
      <c r="W104" t="s">
        <v>49</v>
      </c>
      <c r="X104" t="s">
        <v>50</v>
      </c>
      <c r="Z104" t="s">
        <v>300</v>
      </c>
      <c r="AA104">
        <v>43.272868000000003</v>
      </c>
      <c r="AB104">
        <v>-79.807653999999999</v>
      </c>
      <c r="AC104" t="s">
        <v>138</v>
      </c>
      <c r="AD104" t="s">
        <v>346</v>
      </c>
      <c r="AE104" t="s">
        <v>236</v>
      </c>
      <c r="AJ104">
        <v>20778</v>
      </c>
      <c r="AK104">
        <v>130</v>
      </c>
      <c r="AL104">
        <v>270</v>
      </c>
      <c r="AM104">
        <v>1830</v>
      </c>
      <c r="AN104" t="s">
        <v>344</v>
      </c>
      <c r="AP104" s="3">
        <f t="shared" si="1"/>
        <v>44381.423611111109</v>
      </c>
    </row>
    <row r="105" spans="1:42" hidden="1" x14ac:dyDescent="0.25">
      <c r="A105" t="s">
        <v>59</v>
      </c>
      <c r="D105" t="s">
        <v>43</v>
      </c>
      <c r="E105" t="s">
        <v>347</v>
      </c>
      <c r="F105" s="1">
        <v>42551.427083333336</v>
      </c>
      <c r="G105" t="s">
        <v>44</v>
      </c>
      <c r="H105" t="s">
        <v>45</v>
      </c>
      <c r="I105" t="s">
        <v>46</v>
      </c>
      <c r="J105">
        <v>18967</v>
      </c>
      <c r="K105" t="s">
        <v>234</v>
      </c>
      <c r="L105">
        <v>1240686</v>
      </c>
      <c r="M105" t="s">
        <v>342</v>
      </c>
      <c r="P105">
        <v>525</v>
      </c>
      <c r="Q105">
        <v>550</v>
      </c>
      <c r="R105">
        <v>1660</v>
      </c>
      <c r="V105" t="s">
        <v>48</v>
      </c>
      <c r="W105" t="s">
        <v>49</v>
      </c>
      <c r="X105" t="s">
        <v>50</v>
      </c>
      <c r="Z105" t="s">
        <v>300</v>
      </c>
      <c r="AA105">
        <v>43.272868000000003</v>
      </c>
      <c r="AB105">
        <v>-79.807653999999999</v>
      </c>
      <c r="AC105" t="s">
        <v>138</v>
      </c>
      <c r="AD105" t="s">
        <v>348</v>
      </c>
      <c r="AE105" t="s">
        <v>236</v>
      </c>
      <c r="AJ105">
        <v>20778</v>
      </c>
      <c r="AK105">
        <v>130</v>
      </c>
      <c r="AL105">
        <v>270</v>
      </c>
      <c r="AM105">
        <v>1830</v>
      </c>
      <c r="AN105" t="s">
        <v>344</v>
      </c>
      <c r="AP105" s="3">
        <f t="shared" si="1"/>
        <v>44381.427083333336</v>
      </c>
    </row>
    <row r="106" spans="1:42" ht="14.45" hidden="1" customHeight="1" x14ac:dyDescent="0.25">
      <c r="A106" t="s">
        <v>59</v>
      </c>
      <c r="D106" t="s">
        <v>317</v>
      </c>
      <c r="E106" t="s">
        <v>349</v>
      </c>
      <c r="F106" s="1">
        <v>42551.435416666667</v>
      </c>
      <c r="G106" t="s">
        <v>44</v>
      </c>
      <c r="H106" t="s">
        <v>319</v>
      </c>
      <c r="I106" t="s">
        <v>320</v>
      </c>
      <c r="J106">
        <v>15205</v>
      </c>
      <c r="K106" t="s">
        <v>53</v>
      </c>
      <c r="L106">
        <v>1248042</v>
      </c>
      <c r="Q106">
        <v>920</v>
      </c>
      <c r="R106">
        <v>1750</v>
      </c>
      <c r="V106" t="s">
        <v>48</v>
      </c>
      <c r="W106" t="s">
        <v>49</v>
      </c>
      <c r="X106" t="s">
        <v>50</v>
      </c>
      <c r="Z106" t="s">
        <v>300</v>
      </c>
      <c r="AA106">
        <v>43.272868000000003</v>
      </c>
      <c r="AB106">
        <v>-79.807653999999999</v>
      </c>
      <c r="AC106" t="s">
        <v>138</v>
      </c>
      <c r="AD106" t="s">
        <v>350</v>
      </c>
      <c r="AE106" t="s">
        <v>55</v>
      </c>
      <c r="AF106" t="s">
        <v>56</v>
      </c>
      <c r="AG106">
        <v>34</v>
      </c>
      <c r="AH106">
        <v>0.15160000000000001</v>
      </c>
      <c r="AI106">
        <v>-0.60650000000000004</v>
      </c>
      <c r="AJ106">
        <v>21449</v>
      </c>
      <c r="AK106">
        <v>130</v>
      </c>
      <c r="AL106">
        <v>270</v>
      </c>
      <c r="AM106">
        <v>1386</v>
      </c>
      <c r="AP106" s="3">
        <v>43937.435416666667</v>
      </c>
    </row>
    <row r="107" spans="1:42" ht="14.45" hidden="1" customHeight="1" x14ac:dyDescent="0.25">
      <c r="A107" t="s">
        <v>65</v>
      </c>
      <c r="C107" t="s">
        <v>74</v>
      </c>
      <c r="D107" t="s">
        <v>317</v>
      </c>
      <c r="E107" t="s">
        <v>351</v>
      </c>
      <c r="F107" s="1">
        <v>42551.451388888891</v>
      </c>
      <c r="G107" t="s">
        <v>44</v>
      </c>
      <c r="H107" t="s">
        <v>319</v>
      </c>
      <c r="I107" t="s">
        <v>320</v>
      </c>
      <c r="J107">
        <v>15204</v>
      </c>
      <c r="K107" t="s">
        <v>53</v>
      </c>
      <c r="L107">
        <v>1248041</v>
      </c>
      <c r="Q107">
        <v>916</v>
      </c>
      <c r="R107">
        <v>1750</v>
      </c>
      <c r="V107" t="s">
        <v>48</v>
      </c>
      <c r="W107" t="s">
        <v>49</v>
      </c>
      <c r="X107" t="s">
        <v>50</v>
      </c>
      <c r="Z107" t="s">
        <v>300</v>
      </c>
      <c r="AA107">
        <v>43.272868000000003</v>
      </c>
      <c r="AB107">
        <v>-79.807653999999999</v>
      </c>
      <c r="AC107" t="s">
        <v>138</v>
      </c>
      <c r="AD107" t="s">
        <v>352</v>
      </c>
      <c r="AE107" t="s">
        <v>55</v>
      </c>
      <c r="AF107" t="s">
        <v>56</v>
      </c>
      <c r="AG107">
        <v>34</v>
      </c>
      <c r="AH107">
        <v>0.15160000000000001</v>
      </c>
      <c r="AI107">
        <v>-0.60650000000000004</v>
      </c>
      <c r="AJ107">
        <v>21449</v>
      </c>
      <c r="AK107">
        <v>130</v>
      </c>
      <c r="AL107">
        <v>270</v>
      </c>
      <c r="AM107">
        <v>1386</v>
      </c>
      <c r="AP107" s="3">
        <v>43937.451388888891</v>
      </c>
    </row>
    <row r="108" spans="1:42" ht="14.45" hidden="1" customHeight="1" x14ac:dyDescent="0.25">
      <c r="A108" t="s">
        <v>83</v>
      </c>
      <c r="C108" s="2">
        <v>44516</v>
      </c>
      <c r="D108" t="s">
        <v>317</v>
      </c>
      <c r="E108" t="s">
        <v>353</v>
      </c>
      <c r="F108" s="1">
        <v>42551.459722222222</v>
      </c>
      <c r="G108" t="s">
        <v>44</v>
      </c>
      <c r="H108" t="s">
        <v>319</v>
      </c>
      <c r="I108" t="s">
        <v>320</v>
      </c>
      <c r="J108">
        <v>15203</v>
      </c>
      <c r="K108" t="s">
        <v>53</v>
      </c>
      <c r="L108">
        <v>1248040</v>
      </c>
      <c r="Q108">
        <v>732</v>
      </c>
      <c r="R108">
        <v>790</v>
      </c>
      <c r="V108" t="s">
        <v>48</v>
      </c>
      <c r="W108" t="s">
        <v>49</v>
      </c>
      <c r="X108" t="s">
        <v>50</v>
      </c>
      <c r="Z108" t="s">
        <v>300</v>
      </c>
      <c r="AA108">
        <v>43.272868000000003</v>
      </c>
      <c r="AB108">
        <v>-79.807653999999999</v>
      </c>
      <c r="AC108" t="s">
        <v>138</v>
      </c>
      <c r="AD108" t="s">
        <v>354</v>
      </c>
      <c r="AE108" t="s">
        <v>55</v>
      </c>
      <c r="AF108" t="s">
        <v>56</v>
      </c>
      <c r="AG108">
        <v>34</v>
      </c>
      <c r="AH108">
        <v>0.15160000000000001</v>
      </c>
      <c r="AI108">
        <v>-0.60650000000000004</v>
      </c>
      <c r="AJ108">
        <v>21449</v>
      </c>
      <c r="AK108">
        <v>130</v>
      </c>
      <c r="AL108">
        <v>270</v>
      </c>
      <c r="AM108">
        <v>1386</v>
      </c>
      <c r="AP108" s="3">
        <v>43937.459722222222</v>
      </c>
    </row>
    <row r="109" spans="1:42" ht="14.45" hidden="1" customHeight="1" x14ac:dyDescent="0.25">
      <c r="A109" t="s">
        <v>59</v>
      </c>
      <c r="D109" t="s">
        <v>317</v>
      </c>
      <c r="E109" t="s">
        <v>355</v>
      </c>
      <c r="F109" s="1">
        <v>42551.472222222219</v>
      </c>
      <c r="G109" t="s">
        <v>44</v>
      </c>
      <c r="H109" t="s">
        <v>319</v>
      </c>
      <c r="I109" t="s">
        <v>320</v>
      </c>
      <c r="J109">
        <v>15202</v>
      </c>
      <c r="K109" t="s">
        <v>53</v>
      </c>
      <c r="L109">
        <v>1248039</v>
      </c>
      <c r="Q109">
        <v>823</v>
      </c>
      <c r="R109">
        <v>1230</v>
      </c>
      <c r="V109" t="s">
        <v>48</v>
      </c>
      <c r="W109" t="s">
        <v>49</v>
      </c>
      <c r="X109" t="s">
        <v>50</v>
      </c>
      <c r="Z109" t="s">
        <v>300</v>
      </c>
      <c r="AA109">
        <v>43.272868000000003</v>
      </c>
      <c r="AB109">
        <v>-79.807653999999999</v>
      </c>
      <c r="AC109" t="s">
        <v>138</v>
      </c>
      <c r="AD109" t="s">
        <v>356</v>
      </c>
      <c r="AE109" t="s">
        <v>55</v>
      </c>
      <c r="AF109" t="s">
        <v>56</v>
      </c>
      <c r="AG109">
        <v>34</v>
      </c>
      <c r="AH109">
        <v>0.15160000000000001</v>
      </c>
      <c r="AI109">
        <v>-0.60650000000000004</v>
      </c>
      <c r="AJ109">
        <v>21449</v>
      </c>
      <c r="AK109">
        <v>130</v>
      </c>
      <c r="AL109">
        <v>270</v>
      </c>
      <c r="AM109">
        <v>1386</v>
      </c>
      <c r="AP109" s="3">
        <v>43937.472222222219</v>
      </c>
    </row>
    <row r="110" spans="1:42" ht="14.45" hidden="1" customHeight="1" x14ac:dyDescent="0.25">
      <c r="A110" t="s">
        <v>65</v>
      </c>
      <c r="C110" t="s">
        <v>74</v>
      </c>
      <c r="D110" t="s">
        <v>317</v>
      </c>
      <c r="E110" t="s">
        <v>357</v>
      </c>
      <c r="F110" s="1">
        <v>42551.482638888891</v>
      </c>
      <c r="G110" t="s">
        <v>44</v>
      </c>
      <c r="H110" t="s">
        <v>319</v>
      </c>
      <c r="I110" t="s">
        <v>320</v>
      </c>
      <c r="J110">
        <v>15200</v>
      </c>
      <c r="K110" t="s">
        <v>53</v>
      </c>
      <c r="L110">
        <v>1248037</v>
      </c>
      <c r="Q110">
        <v>671</v>
      </c>
      <c r="R110">
        <v>710</v>
      </c>
      <c r="V110" t="s">
        <v>48</v>
      </c>
      <c r="W110" t="s">
        <v>49</v>
      </c>
      <c r="X110" t="s">
        <v>50</v>
      </c>
      <c r="Z110" t="s">
        <v>300</v>
      </c>
      <c r="AA110">
        <v>43.272868000000003</v>
      </c>
      <c r="AB110">
        <v>-79.807653999999999</v>
      </c>
      <c r="AC110" t="s">
        <v>138</v>
      </c>
      <c r="AD110" t="s">
        <v>358</v>
      </c>
      <c r="AE110" t="s">
        <v>55</v>
      </c>
      <c r="AF110" t="s">
        <v>56</v>
      </c>
      <c r="AG110">
        <v>34</v>
      </c>
      <c r="AH110">
        <v>0.15160000000000001</v>
      </c>
      <c r="AI110">
        <v>-0.60650000000000004</v>
      </c>
      <c r="AJ110">
        <v>21449</v>
      </c>
      <c r="AK110">
        <v>130</v>
      </c>
      <c r="AL110">
        <v>270</v>
      </c>
      <c r="AM110">
        <v>1386</v>
      </c>
      <c r="AP110" s="3">
        <v>43937.482638888891</v>
      </c>
    </row>
    <row r="111" spans="1:42" ht="14.45" hidden="1" customHeight="1" x14ac:dyDescent="0.25">
      <c r="A111" t="s">
        <v>59</v>
      </c>
      <c r="D111" t="s">
        <v>218</v>
      </c>
      <c r="E111" t="s">
        <v>359</v>
      </c>
      <c r="F111" s="1">
        <v>42571.875</v>
      </c>
      <c r="G111" t="s">
        <v>44</v>
      </c>
      <c r="H111" t="s">
        <v>220</v>
      </c>
      <c r="I111" t="s">
        <v>221</v>
      </c>
      <c r="J111">
        <v>15197</v>
      </c>
      <c r="K111" t="s">
        <v>53</v>
      </c>
      <c r="L111">
        <v>1248034</v>
      </c>
      <c r="M111" t="s">
        <v>342</v>
      </c>
      <c r="Q111">
        <v>570</v>
      </c>
      <c r="R111">
        <v>3430</v>
      </c>
      <c r="V111" t="s">
        <v>48</v>
      </c>
      <c r="W111" t="s">
        <v>49</v>
      </c>
      <c r="X111" t="s">
        <v>50</v>
      </c>
      <c r="Z111" t="s">
        <v>360</v>
      </c>
      <c r="AA111">
        <v>43.276539999999997</v>
      </c>
      <c r="AB111">
        <v>-79.887699999999995</v>
      </c>
      <c r="AC111" t="s">
        <v>138</v>
      </c>
      <c r="AD111" t="s">
        <v>361</v>
      </c>
      <c r="AE111" t="s">
        <v>55</v>
      </c>
      <c r="AF111" t="s">
        <v>56</v>
      </c>
      <c r="AG111">
        <v>34</v>
      </c>
      <c r="AH111">
        <v>0.15160000000000001</v>
      </c>
      <c r="AI111">
        <v>-0.60650000000000004</v>
      </c>
      <c r="AJ111">
        <v>21449</v>
      </c>
      <c r="AK111">
        <v>130</v>
      </c>
      <c r="AL111">
        <v>270</v>
      </c>
      <c r="AM111">
        <v>1386</v>
      </c>
      <c r="AN111" t="s">
        <v>362</v>
      </c>
      <c r="AP111" s="3">
        <v>43957.875</v>
      </c>
    </row>
    <row r="112" spans="1:42" ht="14.45" hidden="1" customHeight="1" x14ac:dyDescent="0.25">
      <c r="A112" t="s">
        <v>65</v>
      </c>
      <c r="C112" t="s">
        <v>74</v>
      </c>
      <c r="D112" t="s">
        <v>363</v>
      </c>
      <c r="E112" t="s">
        <v>364</v>
      </c>
      <c r="F112" s="1">
        <v>42571.875</v>
      </c>
      <c r="G112" t="s">
        <v>44</v>
      </c>
      <c r="H112" t="s">
        <v>365</v>
      </c>
      <c r="I112" t="s">
        <v>366</v>
      </c>
      <c r="J112">
        <v>45364</v>
      </c>
      <c r="K112" t="s">
        <v>367</v>
      </c>
      <c r="L112">
        <v>1248072</v>
      </c>
      <c r="M112" t="s">
        <v>342</v>
      </c>
      <c r="Q112">
        <v>199</v>
      </c>
      <c r="R112">
        <v>85</v>
      </c>
      <c r="V112" t="s">
        <v>48</v>
      </c>
      <c r="W112" t="s">
        <v>49</v>
      </c>
      <c r="X112" t="s">
        <v>50</v>
      </c>
      <c r="Z112" t="s">
        <v>360</v>
      </c>
      <c r="AA112">
        <v>43.276539999999997</v>
      </c>
      <c r="AB112">
        <v>-79.887699999999995</v>
      </c>
      <c r="AC112" t="s">
        <v>138</v>
      </c>
      <c r="AD112" t="s">
        <v>368</v>
      </c>
      <c r="AE112" t="s">
        <v>369</v>
      </c>
      <c r="AJ112">
        <v>21449</v>
      </c>
      <c r="AK112">
        <v>130</v>
      </c>
      <c r="AL112">
        <v>270</v>
      </c>
      <c r="AM112">
        <v>266</v>
      </c>
      <c r="AN112" t="s">
        <v>370</v>
      </c>
      <c r="AP112" s="3">
        <v>42837.875</v>
      </c>
    </row>
    <row r="113" spans="1:42" hidden="1" x14ac:dyDescent="0.25">
      <c r="A113" t="s">
        <v>59</v>
      </c>
      <c r="D113" t="s">
        <v>43</v>
      </c>
      <c r="E113" t="s">
        <v>371</v>
      </c>
      <c r="F113" s="1">
        <v>42571.875</v>
      </c>
      <c r="G113" t="s">
        <v>44</v>
      </c>
      <c r="H113" t="s">
        <v>45</v>
      </c>
      <c r="I113" t="s">
        <v>46</v>
      </c>
      <c r="J113">
        <v>52869</v>
      </c>
      <c r="K113" t="s">
        <v>367</v>
      </c>
      <c r="L113">
        <v>1248059</v>
      </c>
      <c r="M113" t="s">
        <v>342</v>
      </c>
      <c r="P113">
        <v>591</v>
      </c>
      <c r="Q113">
        <v>620</v>
      </c>
      <c r="R113">
        <v>2500</v>
      </c>
      <c r="V113" t="s">
        <v>48</v>
      </c>
      <c r="W113" t="s">
        <v>49</v>
      </c>
      <c r="X113" t="s">
        <v>50</v>
      </c>
      <c r="Z113" t="s">
        <v>360</v>
      </c>
      <c r="AA113">
        <v>43.276539999999997</v>
      </c>
      <c r="AB113">
        <v>-79.887699999999995</v>
      </c>
      <c r="AC113" t="s">
        <v>138</v>
      </c>
      <c r="AD113" t="s">
        <v>372</v>
      </c>
      <c r="AE113" t="s">
        <v>236</v>
      </c>
      <c r="AJ113">
        <v>21449</v>
      </c>
      <c r="AK113">
        <v>130</v>
      </c>
      <c r="AL113">
        <v>270</v>
      </c>
      <c r="AM113">
        <v>1825</v>
      </c>
      <c r="AN113" t="s">
        <v>373</v>
      </c>
      <c r="AP113" s="3">
        <v>44396.875</v>
      </c>
    </row>
    <row r="114" spans="1:42" ht="14.45" hidden="1" customHeight="1" x14ac:dyDescent="0.25">
      <c r="A114" t="s">
        <v>65</v>
      </c>
      <c r="C114" t="s">
        <v>74</v>
      </c>
      <c r="D114" t="s">
        <v>363</v>
      </c>
      <c r="E114" t="s">
        <v>374</v>
      </c>
      <c r="F114" s="1">
        <v>42571.958333333336</v>
      </c>
      <c r="G114" t="s">
        <v>44</v>
      </c>
      <c r="H114" t="s">
        <v>365</v>
      </c>
      <c r="I114" t="s">
        <v>366</v>
      </c>
      <c r="J114">
        <v>45357</v>
      </c>
      <c r="K114" t="s">
        <v>367</v>
      </c>
      <c r="L114">
        <v>1248065</v>
      </c>
      <c r="M114" t="s">
        <v>342</v>
      </c>
      <c r="P114">
        <v>287</v>
      </c>
      <c r="Q114">
        <v>295</v>
      </c>
      <c r="R114">
        <v>359</v>
      </c>
      <c r="V114" t="s">
        <v>48</v>
      </c>
      <c r="W114" t="s">
        <v>49</v>
      </c>
      <c r="X114" t="s">
        <v>50</v>
      </c>
      <c r="Z114" t="s">
        <v>375</v>
      </c>
      <c r="AA114">
        <v>43.270074000000001</v>
      </c>
      <c r="AB114">
        <v>-79.874519000000006</v>
      </c>
      <c r="AC114" t="s">
        <v>138</v>
      </c>
      <c r="AD114" t="s">
        <v>376</v>
      </c>
      <c r="AE114" t="s">
        <v>369</v>
      </c>
      <c r="AJ114">
        <v>21449</v>
      </c>
      <c r="AK114">
        <v>130</v>
      </c>
      <c r="AL114">
        <v>270</v>
      </c>
      <c r="AM114">
        <v>266</v>
      </c>
      <c r="AN114" t="s">
        <v>370</v>
      </c>
      <c r="AP114" s="3">
        <v>42837.958333333336</v>
      </c>
    </row>
    <row r="115" spans="1:42" ht="14.45" hidden="1" customHeight="1" x14ac:dyDescent="0.25">
      <c r="A115" t="s">
        <v>65</v>
      </c>
      <c r="C115" t="s">
        <v>74</v>
      </c>
      <c r="D115" t="s">
        <v>363</v>
      </c>
      <c r="E115" t="s">
        <v>377</v>
      </c>
      <c r="F115" s="1">
        <v>42571.958333333336</v>
      </c>
      <c r="G115" t="s">
        <v>44</v>
      </c>
      <c r="H115" t="s">
        <v>365</v>
      </c>
      <c r="I115" t="s">
        <v>366</v>
      </c>
      <c r="J115">
        <v>45358</v>
      </c>
      <c r="K115" t="s">
        <v>367</v>
      </c>
      <c r="L115">
        <v>1248066</v>
      </c>
      <c r="M115" t="s">
        <v>342</v>
      </c>
      <c r="P115">
        <v>160</v>
      </c>
      <c r="Q115">
        <v>166</v>
      </c>
      <c r="R115">
        <v>102</v>
      </c>
      <c r="V115" t="s">
        <v>48</v>
      </c>
      <c r="W115" t="s">
        <v>49</v>
      </c>
      <c r="X115" t="s">
        <v>50</v>
      </c>
      <c r="Z115" t="s">
        <v>375</v>
      </c>
      <c r="AA115">
        <v>43.270074000000001</v>
      </c>
      <c r="AB115">
        <v>-79.874519000000006</v>
      </c>
      <c r="AC115" t="s">
        <v>138</v>
      </c>
      <c r="AD115" t="s">
        <v>378</v>
      </c>
      <c r="AE115" t="s">
        <v>369</v>
      </c>
      <c r="AJ115">
        <v>21449</v>
      </c>
      <c r="AK115">
        <v>130</v>
      </c>
      <c r="AL115">
        <v>270</v>
      </c>
      <c r="AM115">
        <v>266</v>
      </c>
      <c r="AN115" t="s">
        <v>370</v>
      </c>
      <c r="AP115" s="3">
        <v>42837.958333333336</v>
      </c>
    </row>
    <row r="116" spans="1:42" ht="14.45" hidden="1" customHeight="1" x14ac:dyDescent="0.25">
      <c r="A116" t="s">
        <v>65</v>
      </c>
      <c r="C116" t="s">
        <v>74</v>
      </c>
      <c r="D116" t="s">
        <v>363</v>
      </c>
      <c r="E116" t="s">
        <v>379</v>
      </c>
      <c r="F116" s="1">
        <v>42571.958333333336</v>
      </c>
      <c r="G116" t="s">
        <v>44</v>
      </c>
      <c r="H116" t="s">
        <v>365</v>
      </c>
      <c r="I116" t="s">
        <v>366</v>
      </c>
      <c r="J116">
        <v>45359</v>
      </c>
      <c r="K116" t="s">
        <v>367</v>
      </c>
      <c r="L116">
        <v>1248067</v>
      </c>
      <c r="M116" t="s">
        <v>342</v>
      </c>
      <c r="P116">
        <v>196</v>
      </c>
      <c r="Q116">
        <v>203</v>
      </c>
      <c r="R116">
        <v>116</v>
      </c>
      <c r="V116" t="s">
        <v>48</v>
      </c>
      <c r="W116" t="s">
        <v>49</v>
      </c>
      <c r="X116" t="s">
        <v>50</v>
      </c>
      <c r="Z116" t="s">
        <v>375</v>
      </c>
      <c r="AA116">
        <v>43.270074000000001</v>
      </c>
      <c r="AB116">
        <v>-79.874519000000006</v>
      </c>
      <c r="AC116" t="s">
        <v>138</v>
      </c>
      <c r="AD116" t="s">
        <v>380</v>
      </c>
      <c r="AE116" t="s">
        <v>369</v>
      </c>
      <c r="AJ116">
        <v>21449</v>
      </c>
      <c r="AK116">
        <v>130</v>
      </c>
      <c r="AL116">
        <v>270</v>
      </c>
      <c r="AM116">
        <v>266</v>
      </c>
      <c r="AN116" t="s">
        <v>370</v>
      </c>
      <c r="AP116" s="3">
        <v>42837.958333333336</v>
      </c>
    </row>
    <row r="117" spans="1:42" ht="14.45" hidden="1" customHeight="1" x14ac:dyDescent="0.25">
      <c r="A117" t="s">
        <v>59</v>
      </c>
      <c r="D117" t="s">
        <v>363</v>
      </c>
      <c r="E117" t="s">
        <v>381</v>
      </c>
      <c r="F117" s="1">
        <v>42571.958333333336</v>
      </c>
      <c r="G117" t="s">
        <v>44</v>
      </c>
      <c r="H117" t="s">
        <v>365</v>
      </c>
      <c r="I117" t="s">
        <v>366</v>
      </c>
      <c r="J117">
        <v>45360</v>
      </c>
      <c r="K117" t="s">
        <v>367</v>
      </c>
      <c r="L117">
        <v>1248068</v>
      </c>
      <c r="M117" t="s">
        <v>342</v>
      </c>
      <c r="P117">
        <v>176</v>
      </c>
      <c r="Q117">
        <v>181</v>
      </c>
      <c r="R117">
        <v>59</v>
      </c>
      <c r="V117" t="s">
        <v>48</v>
      </c>
      <c r="W117" t="s">
        <v>49</v>
      </c>
      <c r="X117" t="s">
        <v>50</v>
      </c>
      <c r="Z117" t="s">
        <v>375</v>
      </c>
      <c r="AA117">
        <v>43.270074000000001</v>
      </c>
      <c r="AB117">
        <v>-79.874519000000006</v>
      </c>
      <c r="AC117" t="s">
        <v>138</v>
      </c>
      <c r="AD117" t="s">
        <v>382</v>
      </c>
      <c r="AE117" t="s">
        <v>369</v>
      </c>
      <c r="AJ117">
        <v>21449</v>
      </c>
      <c r="AK117">
        <v>130</v>
      </c>
      <c r="AL117">
        <v>270</v>
      </c>
      <c r="AM117">
        <v>266</v>
      </c>
      <c r="AN117" t="s">
        <v>370</v>
      </c>
      <c r="AP117" s="3">
        <v>42837.958333333336</v>
      </c>
    </row>
    <row r="118" spans="1:42" ht="14.45" hidden="1" customHeight="1" x14ac:dyDescent="0.25">
      <c r="A118" t="s">
        <v>59</v>
      </c>
      <c r="D118" t="s">
        <v>363</v>
      </c>
      <c r="E118" t="s">
        <v>383</v>
      </c>
      <c r="F118" s="1">
        <v>42571.958333333336</v>
      </c>
      <c r="G118" t="s">
        <v>44</v>
      </c>
      <c r="H118" t="s">
        <v>365</v>
      </c>
      <c r="I118" t="s">
        <v>366</v>
      </c>
      <c r="J118">
        <v>45361</v>
      </c>
      <c r="K118" t="s">
        <v>367</v>
      </c>
      <c r="L118">
        <v>1248069</v>
      </c>
      <c r="M118" t="s">
        <v>342</v>
      </c>
      <c r="P118">
        <v>180</v>
      </c>
      <c r="Q118">
        <v>187</v>
      </c>
      <c r="R118">
        <v>71</v>
      </c>
      <c r="V118" t="s">
        <v>48</v>
      </c>
      <c r="W118" t="s">
        <v>49</v>
      </c>
      <c r="X118" t="s">
        <v>50</v>
      </c>
      <c r="Z118" t="s">
        <v>375</v>
      </c>
      <c r="AA118">
        <v>43.270074000000001</v>
      </c>
      <c r="AB118">
        <v>-79.874519000000006</v>
      </c>
      <c r="AC118" t="s">
        <v>138</v>
      </c>
      <c r="AD118" t="s">
        <v>384</v>
      </c>
      <c r="AE118" t="s">
        <v>369</v>
      </c>
      <c r="AJ118">
        <v>21449</v>
      </c>
      <c r="AK118">
        <v>130</v>
      </c>
      <c r="AL118">
        <v>270</v>
      </c>
      <c r="AM118">
        <v>266</v>
      </c>
      <c r="AN118" t="s">
        <v>370</v>
      </c>
      <c r="AP118" s="3">
        <v>42837.958333333336</v>
      </c>
    </row>
    <row r="119" spans="1:42" ht="14.45" hidden="1" customHeight="1" x14ac:dyDescent="0.25">
      <c r="A119" t="s">
        <v>59</v>
      </c>
      <c r="D119" t="s">
        <v>218</v>
      </c>
      <c r="E119" t="s">
        <v>385</v>
      </c>
      <c r="F119" s="1">
        <v>42572.041666666664</v>
      </c>
      <c r="G119" t="s">
        <v>44</v>
      </c>
      <c r="H119" t="s">
        <v>220</v>
      </c>
      <c r="I119" t="s">
        <v>221</v>
      </c>
      <c r="J119">
        <v>15196</v>
      </c>
      <c r="K119" t="s">
        <v>53</v>
      </c>
      <c r="L119">
        <v>1248033</v>
      </c>
      <c r="M119" t="s">
        <v>342</v>
      </c>
      <c r="Q119">
        <v>499</v>
      </c>
      <c r="R119">
        <v>1605</v>
      </c>
      <c r="V119" t="s">
        <v>48</v>
      </c>
      <c r="W119" t="s">
        <v>49</v>
      </c>
      <c r="X119" t="s">
        <v>50</v>
      </c>
      <c r="Z119" t="s">
        <v>246</v>
      </c>
      <c r="AA119">
        <v>43.271760999999998</v>
      </c>
      <c r="AB119">
        <v>-79.875268000000005</v>
      </c>
      <c r="AC119" t="s">
        <v>138</v>
      </c>
      <c r="AD119" t="s">
        <v>386</v>
      </c>
      <c r="AE119" t="s">
        <v>55</v>
      </c>
      <c r="AF119" t="s">
        <v>56</v>
      </c>
      <c r="AG119">
        <v>34</v>
      </c>
      <c r="AH119">
        <v>0.15160000000000001</v>
      </c>
      <c r="AI119">
        <v>-0.60650000000000004</v>
      </c>
      <c r="AJ119">
        <v>21449</v>
      </c>
      <c r="AK119">
        <v>130</v>
      </c>
      <c r="AL119">
        <v>270</v>
      </c>
      <c r="AM119">
        <v>1386</v>
      </c>
      <c r="AN119" t="s">
        <v>387</v>
      </c>
      <c r="AP119" s="3">
        <v>43958.041666666664</v>
      </c>
    </row>
    <row r="120" spans="1:42" ht="14.45" hidden="1" customHeight="1" x14ac:dyDescent="0.25">
      <c r="A120" t="s">
        <v>65</v>
      </c>
      <c r="C120" t="s">
        <v>74</v>
      </c>
      <c r="D120" t="s">
        <v>363</v>
      </c>
      <c r="E120" t="s">
        <v>388</v>
      </c>
      <c r="F120" s="1">
        <v>42572.041666666664</v>
      </c>
      <c r="G120" t="s">
        <v>44</v>
      </c>
      <c r="H120" t="s">
        <v>365</v>
      </c>
      <c r="I120" t="s">
        <v>366</v>
      </c>
      <c r="J120">
        <v>45362</v>
      </c>
      <c r="K120" t="s">
        <v>367</v>
      </c>
      <c r="L120">
        <v>1248070</v>
      </c>
      <c r="M120" t="s">
        <v>342</v>
      </c>
      <c r="P120">
        <v>195</v>
      </c>
      <c r="Q120">
        <v>201</v>
      </c>
      <c r="R120">
        <v>94</v>
      </c>
      <c r="V120" t="s">
        <v>48</v>
      </c>
      <c r="W120" t="s">
        <v>49</v>
      </c>
      <c r="X120" t="s">
        <v>50</v>
      </c>
      <c r="Z120" t="s">
        <v>246</v>
      </c>
      <c r="AA120">
        <v>43.271760999999998</v>
      </c>
      <c r="AB120">
        <v>-79.875268000000005</v>
      </c>
      <c r="AC120" t="s">
        <v>138</v>
      </c>
      <c r="AD120" t="s">
        <v>389</v>
      </c>
      <c r="AE120" t="s">
        <v>369</v>
      </c>
      <c r="AJ120">
        <v>21449</v>
      </c>
      <c r="AK120">
        <v>130</v>
      </c>
      <c r="AL120">
        <v>270</v>
      </c>
      <c r="AM120">
        <v>266</v>
      </c>
      <c r="AN120" t="s">
        <v>370</v>
      </c>
      <c r="AP120" s="3">
        <v>42838.041666666664</v>
      </c>
    </row>
    <row r="121" spans="1:42" ht="14.45" hidden="1" customHeight="1" x14ac:dyDescent="0.25">
      <c r="A121" t="s">
        <v>65</v>
      </c>
      <c r="C121" t="s">
        <v>74</v>
      </c>
      <c r="D121" t="s">
        <v>363</v>
      </c>
      <c r="E121" t="s">
        <v>390</v>
      </c>
      <c r="F121" s="1">
        <v>42572.041666666664</v>
      </c>
      <c r="G121" t="s">
        <v>44</v>
      </c>
      <c r="H121" t="s">
        <v>365</v>
      </c>
      <c r="I121" t="s">
        <v>366</v>
      </c>
      <c r="J121">
        <v>45363</v>
      </c>
      <c r="K121" t="s">
        <v>367</v>
      </c>
      <c r="L121">
        <v>1248071</v>
      </c>
      <c r="M121" t="s">
        <v>342</v>
      </c>
      <c r="P121">
        <v>167</v>
      </c>
      <c r="Q121">
        <v>175</v>
      </c>
      <c r="R121">
        <v>51</v>
      </c>
      <c r="V121" t="s">
        <v>48</v>
      </c>
      <c r="W121" t="s">
        <v>49</v>
      </c>
      <c r="X121" t="s">
        <v>50</v>
      </c>
      <c r="Z121" t="s">
        <v>246</v>
      </c>
      <c r="AA121">
        <v>43.271760999999998</v>
      </c>
      <c r="AB121">
        <v>-79.875268000000005</v>
      </c>
      <c r="AC121" t="s">
        <v>138</v>
      </c>
      <c r="AD121" t="s">
        <v>391</v>
      </c>
      <c r="AE121" t="s">
        <v>369</v>
      </c>
      <c r="AJ121">
        <v>21449</v>
      </c>
      <c r="AK121">
        <v>130</v>
      </c>
      <c r="AL121">
        <v>270</v>
      </c>
      <c r="AM121">
        <v>266</v>
      </c>
      <c r="AN121" t="s">
        <v>370</v>
      </c>
      <c r="AP121" s="3">
        <v>42838.041666666664</v>
      </c>
    </row>
    <row r="122" spans="1:42" ht="14.45" hidden="1" customHeight="1" x14ac:dyDescent="0.25">
      <c r="A122" t="s">
        <v>65</v>
      </c>
      <c r="C122" t="s">
        <v>74</v>
      </c>
      <c r="D122" t="s">
        <v>363</v>
      </c>
      <c r="E122" t="s">
        <v>392</v>
      </c>
      <c r="F122" s="1">
        <v>42572.041666666664</v>
      </c>
      <c r="G122" t="s">
        <v>44</v>
      </c>
      <c r="H122" t="s">
        <v>365</v>
      </c>
      <c r="I122" t="s">
        <v>366</v>
      </c>
      <c r="J122">
        <v>45369</v>
      </c>
      <c r="K122" t="s">
        <v>367</v>
      </c>
      <c r="L122">
        <v>1248077</v>
      </c>
      <c r="M122" t="s">
        <v>342</v>
      </c>
      <c r="P122">
        <v>178</v>
      </c>
      <c r="Q122">
        <v>185</v>
      </c>
      <c r="R122">
        <v>65</v>
      </c>
      <c r="V122" t="s">
        <v>48</v>
      </c>
      <c r="W122" t="s">
        <v>49</v>
      </c>
      <c r="X122" t="s">
        <v>50</v>
      </c>
      <c r="Z122" t="s">
        <v>246</v>
      </c>
      <c r="AA122">
        <v>43.271760999999998</v>
      </c>
      <c r="AB122">
        <v>-79.875268000000005</v>
      </c>
      <c r="AC122" t="s">
        <v>138</v>
      </c>
      <c r="AD122" t="s">
        <v>393</v>
      </c>
      <c r="AE122" t="s">
        <v>369</v>
      </c>
      <c r="AJ122">
        <v>21449</v>
      </c>
      <c r="AK122">
        <v>130</v>
      </c>
      <c r="AL122">
        <v>270</v>
      </c>
      <c r="AM122">
        <v>266</v>
      </c>
      <c r="AN122" t="s">
        <v>370</v>
      </c>
      <c r="AP122" s="3">
        <v>42838.041666666664</v>
      </c>
    </row>
    <row r="123" spans="1:42" ht="14.45" hidden="1" customHeight="1" x14ac:dyDescent="0.25">
      <c r="A123" t="s">
        <v>65</v>
      </c>
      <c r="C123" t="s">
        <v>74</v>
      </c>
      <c r="D123" t="s">
        <v>363</v>
      </c>
      <c r="E123" t="s">
        <v>394</v>
      </c>
      <c r="F123" s="1">
        <v>42572.041666666664</v>
      </c>
      <c r="G123" t="s">
        <v>44</v>
      </c>
      <c r="H123" t="s">
        <v>365</v>
      </c>
      <c r="I123" t="s">
        <v>366</v>
      </c>
      <c r="J123">
        <v>45370</v>
      </c>
      <c r="K123" t="s">
        <v>367</v>
      </c>
      <c r="L123">
        <v>1248078</v>
      </c>
      <c r="M123" t="s">
        <v>342</v>
      </c>
      <c r="P123">
        <v>225</v>
      </c>
      <c r="Q123">
        <v>237</v>
      </c>
      <c r="R123">
        <v>169</v>
      </c>
      <c r="V123" t="s">
        <v>48</v>
      </c>
      <c r="W123" t="s">
        <v>49</v>
      </c>
      <c r="X123" t="s">
        <v>50</v>
      </c>
      <c r="Z123" t="s">
        <v>246</v>
      </c>
      <c r="AA123">
        <v>43.271760999999998</v>
      </c>
      <c r="AB123">
        <v>-79.875268000000005</v>
      </c>
      <c r="AC123" t="s">
        <v>138</v>
      </c>
      <c r="AD123" t="s">
        <v>395</v>
      </c>
      <c r="AE123" t="s">
        <v>369</v>
      </c>
      <c r="AJ123">
        <v>21449</v>
      </c>
      <c r="AK123">
        <v>130</v>
      </c>
      <c r="AL123">
        <v>270</v>
      </c>
      <c r="AM123">
        <v>266</v>
      </c>
      <c r="AN123" t="s">
        <v>370</v>
      </c>
      <c r="AP123" s="3">
        <v>42838.041666666664</v>
      </c>
    </row>
    <row r="124" spans="1:42" ht="14.45" hidden="1" customHeight="1" x14ac:dyDescent="0.25">
      <c r="A124" t="s">
        <v>65</v>
      </c>
      <c r="C124" t="s">
        <v>74</v>
      </c>
      <c r="D124" t="s">
        <v>363</v>
      </c>
      <c r="E124" t="s">
        <v>396</v>
      </c>
      <c r="F124" s="1">
        <v>42572.041666666664</v>
      </c>
      <c r="G124" t="s">
        <v>44</v>
      </c>
      <c r="H124" t="s">
        <v>365</v>
      </c>
      <c r="I124" t="s">
        <v>366</v>
      </c>
      <c r="J124">
        <v>45371</v>
      </c>
      <c r="K124" t="s">
        <v>367</v>
      </c>
      <c r="L124">
        <v>1248079</v>
      </c>
      <c r="M124" t="s">
        <v>342</v>
      </c>
      <c r="P124">
        <v>210</v>
      </c>
      <c r="Q124">
        <v>214</v>
      </c>
      <c r="R124">
        <v>113</v>
      </c>
      <c r="V124" t="s">
        <v>48</v>
      </c>
      <c r="W124" t="s">
        <v>49</v>
      </c>
      <c r="X124" t="s">
        <v>50</v>
      </c>
      <c r="Z124" t="s">
        <v>246</v>
      </c>
      <c r="AA124">
        <v>43.271760999999998</v>
      </c>
      <c r="AB124">
        <v>-79.875268000000005</v>
      </c>
      <c r="AC124" t="s">
        <v>138</v>
      </c>
      <c r="AD124" t="s">
        <v>397</v>
      </c>
      <c r="AE124" t="s">
        <v>369</v>
      </c>
      <c r="AJ124">
        <v>21449</v>
      </c>
      <c r="AK124">
        <v>130</v>
      </c>
      <c r="AL124">
        <v>270</v>
      </c>
      <c r="AM124">
        <v>266</v>
      </c>
      <c r="AN124" t="s">
        <v>370</v>
      </c>
      <c r="AP124" s="3">
        <v>42838.041666666664</v>
      </c>
    </row>
    <row r="125" spans="1:42" ht="14.45" hidden="1" customHeight="1" x14ac:dyDescent="0.25">
      <c r="A125" t="s">
        <v>65</v>
      </c>
      <c r="C125" t="s">
        <v>74</v>
      </c>
      <c r="D125" t="s">
        <v>363</v>
      </c>
      <c r="E125" t="s">
        <v>398</v>
      </c>
      <c r="F125" s="1">
        <v>42576.833333333336</v>
      </c>
      <c r="G125" t="s">
        <v>44</v>
      </c>
      <c r="H125" t="s">
        <v>365</v>
      </c>
      <c r="I125" t="s">
        <v>366</v>
      </c>
      <c r="J125">
        <v>45367</v>
      </c>
      <c r="K125" t="s">
        <v>367</v>
      </c>
      <c r="L125">
        <v>1248075</v>
      </c>
      <c r="M125" t="s">
        <v>342</v>
      </c>
      <c r="P125">
        <v>239</v>
      </c>
      <c r="Q125">
        <v>248</v>
      </c>
      <c r="R125">
        <v>193</v>
      </c>
      <c r="V125" t="s">
        <v>48</v>
      </c>
      <c r="W125" t="s">
        <v>49</v>
      </c>
      <c r="X125" t="s">
        <v>50</v>
      </c>
      <c r="Z125" t="s">
        <v>399</v>
      </c>
      <c r="AA125">
        <v>43.272137999999998</v>
      </c>
      <c r="AB125">
        <v>-79.86994</v>
      </c>
      <c r="AC125" t="s">
        <v>138</v>
      </c>
      <c r="AD125" t="s">
        <v>400</v>
      </c>
      <c r="AE125" t="s">
        <v>369</v>
      </c>
      <c r="AJ125">
        <v>21449</v>
      </c>
      <c r="AK125">
        <v>130</v>
      </c>
      <c r="AL125">
        <v>270</v>
      </c>
      <c r="AM125">
        <v>266</v>
      </c>
      <c r="AN125" t="s">
        <v>401</v>
      </c>
      <c r="AP125" s="3">
        <v>42842.833333333336</v>
      </c>
    </row>
    <row r="126" spans="1:42" ht="14.45" hidden="1" customHeight="1" x14ac:dyDescent="0.25">
      <c r="A126" t="s">
        <v>59</v>
      </c>
      <c r="D126" t="s">
        <v>363</v>
      </c>
      <c r="E126" t="s">
        <v>402</v>
      </c>
      <c r="F126" s="1">
        <v>42576.833333333336</v>
      </c>
      <c r="G126" t="s">
        <v>44</v>
      </c>
      <c r="H126" t="s">
        <v>365</v>
      </c>
      <c r="I126" t="s">
        <v>366</v>
      </c>
      <c r="J126">
        <v>45368</v>
      </c>
      <c r="K126" t="s">
        <v>367</v>
      </c>
      <c r="L126">
        <v>1248076</v>
      </c>
      <c r="M126" t="s">
        <v>342</v>
      </c>
      <c r="P126">
        <v>220</v>
      </c>
      <c r="Q126">
        <v>235</v>
      </c>
      <c r="R126">
        <v>230</v>
      </c>
      <c r="V126" t="s">
        <v>48</v>
      </c>
      <c r="W126" t="s">
        <v>49</v>
      </c>
      <c r="X126" t="s">
        <v>50</v>
      </c>
      <c r="Z126" t="s">
        <v>399</v>
      </c>
      <c r="AA126">
        <v>43.272137999999998</v>
      </c>
      <c r="AB126">
        <v>-79.86994</v>
      </c>
      <c r="AC126" t="s">
        <v>138</v>
      </c>
      <c r="AD126" t="s">
        <v>403</v>
      </c>
      <c r="AE126" t="s">
        <v>369</v>
      </c>
      <c r="AJ126">
        <v>21449</v>
      </c>
      <c r="AK126">
        <v>130</v>
      </c>
      <c r="AL126">
        <v>270</v>
      </c>
      <c r="AM126">
        <v>266</v>
      </c>
      <c r="AN126" t="s">
        <v>362</v>
      </c>
      <c r="AP126" s="3">
        <v>42842.833333333336</v>
      </c>
    </row>
    <row r="127" spans="1:42" ht="14.45" hidden="1" customHeight="1" x14ac:dyDescent="0.25">
      <c r="A127" t="s">
        <v>59</v>
      </c>
      <c r="D127" t="s">
        <v>363</v>
      </c>
      <c r="E127" t="s">
        <v>404</v>
      </c>
      <c r="F127" s="1">
        <v>42576.916666666664</v>
      </c>
      <c r="G127" t="s">
        <v>44</v>
      </c>
      <c r="H127" t="s">
        <v>365</v>
      </c>
      <c r="I127" t="s">
        <v>366</v>
      </c>
      <c r="J127">
        <v>45365</v>
      </c>
      <c r="K127" t="s">
        <v>367</v>
      </c>
      <c r="L127">
        <v>1248073</v>
      </c>
      <c r="M127" t="s">
        <v>342</v>
      </c>
      <c r="P127">
        <v>226</v>
      </c>
      <c r="Q127">
        <v>239</v>
      </c>
      <c r="R127">
        <v>152</v>
      </c>
      <c r="V127" t="s">
        <v>48</v>
      </c>
      <c r="W127" t="s">
        <v>49</v>
      </c>
      <c r="X127" t="s">
        <v>50</v>
      </c>
      <c r="Z127" t="s">
        <v>246</v>
      </c>
      <c r="AA127">
        <v>43.271760999999998</v>
      </c>
      <c r="AB127">
        <v>-79.875268000000005</v>
      </c>
      <c r="AC127" t="s">
        <v>138</v>
      </c>
      <c r="AD127" t="s">
        <v>405</v>
      </c>
      <c r="AE127" t="s">
        <v>369</v>
      </c>
      <c r="AJ127">
        <v>21449</v>
      </c>
      <c r="AK127">
        <v>130</v>
      </c>
      <c r="AL127">
        <v>270</v>
      </c>
      <c r="AM127">
        <v>266</v>
      </c>
      <c r="AN127" t="s">
        <v>401</v>
      </c>
      <c r="AP127" s="3">
        <v>42842.916666666664</v>
      </c>
    </row>
    <row r="128" spans="1:42" ht="14.45" hidden="1" customHeight="1" x14ac:dyDescent="0.25">
      <c r="A128" t="s">
        <v>59</v>
      </c>
      <c r="D128" t="s">
        <v>363</v>
      </c>
      <c r="E128" t="s">
        <v>406</v>
      </c>
      <c r="F128" s="1">
        <v>42576.916666666664</v>
      </c>
      <c r="G128" t="s">
        <v>44</v>
      </c>
      <c r="H128" t="s">
        <v>365</v>
      </c>
      <c r="I128" t="s">
        <v>366</v>
      </c>
      <c r="J128">
        <v>45366</v>
      </c>
      <c r="K128" t="s">
        <v>367</v>
      </c>
      <c r="L128">
        <v>1248074</v>
      </c>
      <c r="M128" t="s">
        <v>342</v>
      </c>
      <c r="P128">
        <v>230</v>
      </c>
      <c r="Q128">
        <v>242</v>
      </c>
      <c r="R128">
        <v>179</v>
      </c>
      <c r="V128" t="s">
        <v>48</v>
      </c>
      <c r="W128" t="s">
        <v>49</v>
      </c>
      <c r="X128" t="s">
        <v>50</v>
      </c>
      <c r="Z128" t="s">
        <v>246</v>
      </c>
      <c r="AA128">
        <v>43.271760999999998</v>
      </c>
      <c r="AB128">
        <v>-79.875268000000005</v>
      </c>
      <c r="AC128" t="s">
        <v>138</v>
      </c>
      <c r="AD128" t="s">
        <v>407</v>
      </c>
      <c r="AE128" t="s">
        <v>369</v>
      </c>
      <c r="AJ128">
        <v>21449</v>
      </c>
      <c r="AK128">
        <v>130</v>
      </c>
      <c r="AL128">
        <v>270</v>
      </c>
      <c r="AM128">
        <v>266</v>
      </c>
      <c r="AN128" t="s">
        <v>401</v>
      </c>
      <c r="AP128" s="3">
        <v>42842.916666666664</v>
      </c>
    </row>
    <row r="129" spans="1:42" ht="14.45" hidden="1" customHeight="1" x14ac:dyDescent="0.25">
      <c r="A129" t="s">
        <v>59</v>
      </c>
      <c r="D129" t="s">
        <v>218</v>
      </c>
      <c r="E129" t="s">
        <v>408</v>
      </c>
      <c r="F129" s="1">
        <v>42576.958333333336</v>
      </c>
      <c r="G129" t="s">
        <v>44</v>
      </c>
      <c r="H129" t="s">
        <v>220</v>
      </c>
      <c r="I129" t="s">
        <v>221</v>
      </c>
      <c r="J129">
        <v>15244</v>
      </c>
      <c r="K129" t="s">
        <v>53</v>
      </c>
      <c r="L129">
        <v>1248080</v>
      </c>
      <c r="M129" t="s">
        <v>342</v>
      </c>
      <c r="P129">
        <v>486</v>
      </c>
      <c r="Q129">
        <v>510</v>
      </c>
      <c r="R129">
        <v>1780</v>
      </c>
      <c r="V129" t="s">
        <v>48</v>
      </c>
      <c r="W129" t="s">
        <v>49</v>
      </c>
      <c r="X129" t="s">
        <v>50</v>
      </c>
      <c r="Z129" t="s">
        <v>409</v>
      </c>
      <c r="AA129">
        <v>43.28424236</v>
      </c>
      <c r="AB129">
        <v>-79.87736237</v>
      </c>
      <c r="AC129" t="s">
        <v>138</v>
      </c>
      <c r="AD129" t="s">
        <v>410</v>
      </c>
      <c r="AE129" t="s">
        <v>55</v>
      </c>
      <c r="AF129" t="s">
        <v>56</v>
      </c>
      <c r="AG129">
        <v>34</v>
      </c>
      <c r="AH129">
        <v>0.15160000000000001</v>
      </c>
      <c r="AI129">
        <v>-0.60650000000000004</v>
      </c>
      <c r="AJ129">
        <v>21449</v>
      </c>
      <c r="AK129">
        <v>130</v>
      </c>
      <c r="AL129">
        <v>270</v>
      </c>
      <c r="AM129">
        <v>1386</v>
      </c>
      <c r="AN129" t="s">
        <v>411</v>
      </c>
      <c r="AP129" s="3">
        <v>43962.958333333336</v>
      </c>
    </row>
    <row r="130" spans="1:42" hidden="1" x14ac:dyDescent="0.25">
      <c r="A130" t="s">
        <v>59</v>
      </c>
      <c r="D130" t="s">
        <v>43</v>
      </c>
      <c r="E130" t="s">
        <v>412</v>
      </c>
      <c r="F130" s="1">
        <v>42576.958333333336</v>
      </c>
      <c r="G130" t="s">
        <v>44</v>
      </c>
      <c r="H130" t="s">
        <v>45</v>
      </c>
      <c r="I130" t="s">
        <v>46</v>
      </c>
      <c r="J130">
        <v>52870</v>
      </c>
      <c r="K130" t="s">
        <v>367</v>
      </c>
      <c r="L130">
        <v>1248060</v>
      </c>
      <c r="M130">
        <v>1675</v>
      </c>
      <c r="P130">
        <v>532</v>
      </c>
      <c r="Q130">
        <v>557</v>
      </c>
      <c r="R130">
        <v>1760</v>
      </c>
      <c r="V130" t="s">
        <v>48</v>
      </c>
      <c r="W130" t="s">
        <v>49</v>
      </c>
      <c r="X130" t="s">
        <v>50</v>
      </c>
      <c r="Z130" t="s">
        <v>413</v>
      </c>
      <c r="AA130">
        <v>43.287242999999997</v>
      </c>
      <c r="AB130">
        <v>-79.865917999999994</v>
      </c>
      <c r="AC130" t="s">
        <v>138</v>
      </c>
      <c r="AD130" t="s">
        <v>414</v>
      </c>
      <c r="AE130" t="s">
        <v>236</v>
      </c>
      <c r="AJ130">
        <v>21449</v>
      </c>
      <c r="AK130">
        <v>130</v>
      </c>
      <c r="AL130">
        <v>270</v>
      </c>
      <c r="AM130">
        <v>1825</v>
      </c>
      <c r="AN130" t="s">
        <v>411</v>
      </c>
      <c r="AP130" s="3">
        <v>44401.958333333336</v>
      </c>
    </row>
    <row r="131" spans="1:42" ht="14.45" hidden="1" customHeight="1" x14ac:dyDescent="0.25">
      <c r="A131" t="s">
        <v>65</v>
      </c>
      <c r="C131" t="s">
        <v>74</v>
      </c>
      <c r="D131" t="s">
        <v>223</v>
      </c>
      <c r="E131" t="s">
        <v>415</v>
      </c>
      <c r="F131" s="1">
        <v>42576.999305555553</v>
      </c>
      <c r="G131" t="s">
        <v>44</v>
      </c>
      <c r="H131" t="s">
        <v>225</v>
      </c>
      <c r="I131" t="s">
        <v>226</v>
      </c>
      <c r="J131">
        <v>15198</v>
      </c>
      <c r="K131" t="s">
        <v>53</v>
      </c>
      <c r="L131">
        <v>1248035</v>
      </c>
      <c r="M131" t="s">
        <v>342</v>
      </c>
      <c r="P131">
        <v>425</v>
      </c>
      <c r="Q131">
        <v>450</v>
      </c>
      <c r="R131">
        <v>970</v>
      </c>
      <c r="V131" t="s">
        <v>48</v>
      </c>
      <c r="W131" t="s">
        <v>49</v>
      </c>
      <c r="X131" t="s">
        <v>50</v>
      </c>
      <c r="Z131" t="s">
        <v>399</v>
      </c>
      <c r="AA131">
        <v>43.272137999999998</v>
      </c>
      <c r="AB131">
        <v>-79.86994</v>
      </c>
      <c r="AC131" t="s">
        <v>138</v>
      </c>
      <c r="AD131" t="s">
        <v>416</v>
      </c>
      <c r="AE131" t="s">
        <v>55</v>
      </c>
      <c r="AF131" t="s">
        <v>56</v>
      </c>
      <c r="AG131">
        <v>34</v>
      </c>
      <c r="AH131">
        <v>0.15160000000000001</v>
      </c>
      <c r="AI131">
        <v>-0.60650000000000004</v>
      </c>
      <c r="AJ131">
        <v>21449</v>
      </c>
      <c r="AK131">
        <v>130</v>
      </c>
      <c r="AL131">
        <v>270</v>
      </c>
      <c r="AM131">
        <v>1386</v>
      </c>
      <c r="AN131" t="s">
        <v>417</v>
      </c>
      <c r="AP131" s="3">
        <v>43962.999305555553</v>
      </c>
    </row>
    <row r="132" spans="1:42" hidden="1" x14ac:dyDescent="0.25">
      <c r="A132" t="s">
        <v>59</v>
      </c>
      <c r="C132" t="s">
        <v>418</v>
      </c>
      <c r="D132" t="s">
        <v>43</v>
      </c>
      <c r="E132" t="s">
        <v>419</v>
      </c>
      <c r="F132" s="1">
        <v>42576.999305555553</v>
      </c>
      <c r="G132" t="s">
        <v>44</v>
      </c>
      <c r="H132" t="s">
        <v>45</v>
      </c>
      <c r="I132" t="s">
        <v>46</v>
      </c>
      <c r="J132">
        <v>52867</v>
      </c>
      <c r="K132" t="s">
        <v>367</v>
      </c>
      <c r="L132">
        <v>1248057</v>
      </c>
      <c r="M132">
        <v>1673</v>
      </c>
      <c r="P132">
        <v>530</v>
      </c>
      <c r="Q132">
        <v>559</v>
      </c>
      <c r="R132">
        <v>2220</v>
      </c>
      <c r="V132" t="s">
        <v>48</v>
      </c>
      <c r="W132" t="s">
        <v>49</v>
      </c>
      <c r="X132" t="s">
        <v>50</v>
      </c>
      <c r="Z132" t="s">
        <v>375</v>
      </c>
      <c r="AA132">
        <v>43.270074000000001</v>
      </c>
      <c r="AB132">
        <v>-79.874519000000006</v>
      </c>
      <c r="AC132" t="s">
        <v>138</v>
      </c>
      <c r="AD132" t="s">
        <v>420</v>
      </c>
      <c r="AE132" t="s">
        <v>236</v>
      </c>
      <c r="AJ132">
        <v>21449</v>
      </c>
      <c r="AK132">
        <v>130</v>
      </c>
      <c r="AL132">
        <v>270</v>
      </c>
      <c r="AM132">
        <v>1825</v>
      </c>
      <c r="AN132" t="s">
        <v>417</v>
      </c>
      <c r="AP132" s="3">
        <v>44401.999305555553</v>
      </c>
    </row>
    <row r="133" spans="1:42" hidden="1" x14ac:dyDescent="0.25">
      <c r="A133" t="s">
        <v>42</v>
      </c>
      <c r="C133" t="s">
        <v>421</v>
      </c>
      <c r="D133" t="s">
        <v>43</v>
      </c>
      <c r="E133" t="s">
        <v>422</v>
      </c>
      <c r="F133" s="1">
        <v>42576.999305555553</v>
      </c>
      <c r="G133" t="s">
        <v>44</v>
      </c>
      <c r="H133" t="s">
        <v>45</v>
      </c>
      <c r="I133" t="s">
        <v>46</v>
      </c>
      <c r="J133">
        <v>52868</v>
      </c>
      <c r="K133" t="s">
        <v>367</v>
      </c>
      <c r="L133">
        <v>1248058</v>
      </c>
      <c r="M133">
        <v>1674</v>
      </c>
      <c r="P133">
        <v>524</v>
      </c>
      <c r="Q133">
        <v>546</v>
      </c>
      <c r="R133">
        <v>2520</v>
      </c>
      <c r="V133" t="s">
        <v>48</v>
      </c>
      <c r="W133" t="s">
        <v>49</v>
      </c>
      <c r="X133" t="s">
        <v>50</v>
      </c>
      <c r="Z133" t="s">
        <v>375</v>
      </c>
      <c r="AA133">
        <v>43.270074000000001</v>
      </c>
      <c r="AB133">
        <v>-79.874519000000006</v>
      </c>
      <c r="AC133" t="s">
        <v>138</v>
      </c>
      <c r="AD133" t="s">
        <v>423</v>
      </c>
      <c r="AE133" t="s">
        <v>236</v>
      </c>
      <c r="AJ133">
        <v>21449</v>
      </c>
      <c r="AK133">
        <v>130</v>
      </c>
      <c r="AL133">
        <v>270</v>
      </c>
      <c r="AM133">
        <v>1825</v>
      </c>
      <c r="AN133" t="s">
        <v>417</v>
      </c>
      <c r="AP133" s="3">
        <v>44401.999305555553</v>
      </c>
    </row>
    <row r="134" spans="1:42" ht="14.45" hidden="1" customHeight="1" x14ac:dyDescent="0.25">
      <c r="A134" t="s">
        <v>59</v>
      </c>
      <c r="D134" t="s">
        <v>122</v>
      </c>
      <c r="E134" t="s">
        <v>424</v>
      </c>
      <c r="F134" s="1">
        <v>42577.958333333336</v>
      </c>
      <c r="G134" t="s">
        <v>44</v>
      </c>
      <c r="H134" t="s">
        <v>124</v>
      </c>
      <c r="I134" t="s">
        <v>125</v>
      </c>
      <c r="J134">
        <v>15246</v>
      </c>
      <c r="K134" t="s">
        <v>53</v>
      </c>
      <c r="L134">
        <v>1248082</v>
      </c>
      <c r="M134">
        <v>1672</v>
      </c>
      <c r="P134">
        <v>580</v>
      </c>
      <c r="Q134">
        <v>604</v>
      </c>
      <c r="R134">
        <v>1391</v>
      </c>
      <c r="S134" t="s">
        <v>425</v>
      </c>
      <c r="V134" t="s">
        <v>48</v>
      </c>
      <c r="W134" t="s">
        <v>49</v>
      </c>
      <c r="X134" t="s">
        <v>50</v>
      </c>
      <c r="Z134" t="s">
        <v>426</v>
      </c>
      <c r="AA134">
        <v>43.274040999999997</v>
      </c>
      <c r="AB134">
        <v>-79.885388000000006</v>
      </c>
      <c r="AC134" t="s">
        <v>138</v>
      </c>
      <c r="AD134" t="s">
        <v>427</v>
      </c>
      <c r="AE134" t="s">
        <v>55</v>
      </c>
      <c r="AF134" t="s">
        <v>56</v>
      </c>
      <c r="AG134">
        <v>34</v>
      </c>
      <c r="AH134">
        <v>0.15160000000000001</v>
      </c>
      <c r="AI134">
        <v>-0.60650000000000004</v>
      </c>
      <c r="AJ134">
        <v>21449</v>
      </c>
      <c r="AK134">
        <v>130</v>
      </c>
      <c r="AL134">
        <v>270</v>
      </c>
      <c r="AM134">
        <v>1386</v>
      </c>
      <c r="AN134" t="s">
        <v>428</v>
      </c>
      <c r="AP134" s="3">
        <v>43963.958333333336</v>
      </c>
    </row>
    <row r="135" spans="1:42" hidden="1" x14ac:dyDescent="0.25">
      <c r="A135" t="s">
        <v>59</v>
      </c>
      <c r="D135" t="s">
        <v>43</v>
      </c>
      <c r="E135" t="s">
        <v>429</v>
      </c>
      <c r="F135" s="1">
        <v>42577.958333333336</v>
      </c>
      <c r="G135" t="s">
        <v>44</v>
      </c>
      <c r="H135" t="s">
        <v>45</v>
      </c>
      <c r="I135" t="s">
        <v>46</v>
      </c>
      <c r="J135">
        <v>52871</v>
      </c>
      <c r="K135" t="s">
        <v>367</v>
      </c>
      <c r="L135">
        <v>1248061</v>
      </c>
      <c r="M135">
        <v>1671</v>
      </c>
      <c r="P135">
        <v>512</v>
      </c>
      <c r="Q135">
        <v>539</v>
      </c>
      <c r="R135">
        <v>1740</v>
      </c>
      <c r="S135" t="s">
        <v>425</v>
      </c>
      <c r="V135" t="s">
        <v>48</v>
      </c>
      <c r="W135" t="s">
        <v>49</v>
      </c>
      <c r="X135" t="s">
        <v>50</v>
      </c>
      <c r="Z135" t="s">
        <v>430</v>
      </c>
      <c r="AA135">
        <v>43.274386999999997</v>
      </c>
      <c r="AB135">
        <v>-79.863383999999996</v>
      </c>
      <c r="AC135" t="s">
        <v>138</v>
      </c>
      <c r="AD135" t="s">
        <v>431</v>
      </c>
      <c r="AE135" t="s">
        <v>236</v>
      </c>
      <c r="AJ135">
        <v>21449</v>
      </c>
      <c r="AK135">
        <v>130</v>
      </c>
      <c r="AL135">
        <v>270</v>
      </c>
      <c r="AM135">
        <v>1825</v>
      </c>
      <c r="AN135" t="s">
        <v>370</v>
      </c>
      <c r="AP135" s="3">
        <v>44402.958333333336</v>
      </c>
    </row>
    <row r="136" spans="1:42" hidden="1" x14ac:dyDescent="0.25">
      <c r="A136" t="s">
        <v>59</v>
      </c>
      <c r="D136" t="s">
        <v>43</v>
      </c>
      <c r="E136" t="s">
        <v>432</v>
      </c>
      <c r="F136" s="1">
        <v>42591.375</v>
      </c>
      <c r="G136" t="s">
        <v>44</v>
      </c>
      <c r="H136" t="s">
        <v>45</v>
      </c>
      <c r="I136" t="s">
        <v>46</v>
      </c>
      <c r="J136">
        <v>52866</v>
      </c>
      <c r="K136" t="s">
        <v>367</v>
      </c>
      <c r="L136">
        <v>1248056</v>
      </c>
      <c r="M136" t="s">
        <v>433</v>
      </c>
      <c r="P136">
        <v>532</v>
      </c>
      <c r="Q136">
        <v>555</v>
      </c>
      <c r="R136">
        <v>1830</v>
      </c>
      <c r="S136" t="s">
        <v>425</v>
      </c>
      <c r="V136" t="s">
        <v>48</v>
      </c>
      <c r="W136" t="s">
        <v>49</v>
      </c>
      <c r="X136" t="s">
        <v>50</v>
      </c>
      <c r="Z136" t="s">
        <v>434</v>
      </c>
      <c r="AA136">
        <v>43.306441</v>
      </c>
      <c r="AB136">
        <v>-79.831671</v>
      </c>
      <c r="AC136" t="s">
        <v>435</v>
      </c>
      <c r="AD136" t="s">
        <v>436</v>
      </c>
      <c r="AE136" t="s">
        <v>236</v>
      </c>
      <c r="AJ136">
        <v>21449</v>
      </c>
      <c r="AK136">
        <v>130</v>
      </c>
      <c r="AL136">
        <v>270</v>
      </c>
      <c r="AM136">
        <v>1825</v>
      </c>
      <c r="AN136" t="s">
        <v>437</v>
      </c>
      <c r="AP136" s="3">
        <v>44416.375</v>
      </c>
    </row>
    <row r="137" spans="1:42" hidden="1" x14ac:dyDescent="0.25">
      <c r="A137" t="s">
        <v>59</v>
      </c>
      <c r="D137" t="s">
        <v>43</v>
      </c>
      <c r="E137" t="s">
        <v>438</v>
      </c>
      <c r="F137" s="1">
        <v>42591.375</v>
      </c>
      <c r="G137" t="s">
        <v>44</v>
      </c>
      <c r="H137" t="s">
        <v>45</v>
      </c>
      <c r="I137" t="s">
        <v>46</v>
      </c>
      <c r="J137">
        <v>52872</v>
      </c>
      <c r="K137" t="s">
        <v>367</v>
      </c>
      <c r="L137">
        <v>1248062</v>
      </c>
      <c r="M137" t="s">
        <v>439</v>
      </c>
      <c r="P137">
        <v>525</v>
      </c>
      <c r="Q137">
        <v>542</v>
      </c>
      <c r="R137">
        <v>1930</v>
      </c>
      <c r="S137" t="s">
        <v>440</v>
      </c>
      <c r="V137" t="s">
        <v>48</v>
      </c>
      <c r="W137" t="s">
        <v>49</v>
      </c>
      <c r="X137" t="s">
        <v>50</v>
      </c>
      <c r="Z137" t="s">
        <v>434</v>
      </c>
      <c r="AA137">
        <v>43.306441</v>
      </c>
      <c r="AB137">
        <v>-79.831671</v>
      </c>
      <c r="AC137" t="s">
        <v>435</v>
      </c>
      <c r="AD137" t="s">
        <v>441</v>
      </c>
      <c r="AE137" t="s">
        <v>236</v>
      </c>
      <c r="AJ137">
        <v>21449</v>
      </c>
      <c r="AK137">
        <v>130</v>
      </c>
      <c r="AL137">
        <v>270</v>
      </c>
      <c r="AM137">
        <v>1825</v>
      </c>
      <c r="AN137" t="s">
        <v>437</v>
      </c>
      <c r="AP137" s="3">
        <v>44416.375</v>
      </c>
    </row>
    <row r="138" spans="1:42" hidden="1" x14ac:dyDescent="0.25">
      <c r="A138" t="s">
        <v>42</v>
      </c>
      <c r="C138" t="s">
        <v>442</v>
      </c>
      <c r="D138" t="s">
        <v>43</v>
      </c>
      <c r="E138" t="s">
        <v>443</v>
      </c>
      <c r="F138" s="1">
        <v>42591.375</v>
      </c>
      <c r="G138" t="s">
        <v>44</v>
      </c>
      <c r="H138" t="s">
        <v>45</v>
      </c>
      <c r="I138" t="s">
        <v>46</v>
      </c>
      <c r="J138">
        <v>52873</v>
      </c>
      <c r="K138" t="s">
        <v>367</v>
      </c>
      <c r="L138">
        <v>1248063</v>
      </c>
      <c r="M138" t="s">
        <v>444</v>
      </c>
      <c r="P138">
        <v>501</v>
      </c>
      <c r="Q138">
        <v>518</v>
      </c>
      <c r="R138">
        <v>1690</v>
      </c>
      <c r="S138" t="s">
        <v>425</v>
      </c>
      <c r="V138" t="s">
        <v>48</v>
      </c>
      <c r="W138" t="s">
        <v>49</v>
      </c>
      <c r="X138" t="s">
        <v>50</v>
      </c>
      <c r="Z138" t="s">
        <v>434</v>
      </c>
      <c r="AA138">
        <v>43.306441</v>
      </c>
      <c r="AB138">
        <v>-79.831671</v>
      </c>
      <c r="AC138" t="s">
        <v>435</v>
      </c>
      <c r="AD138" t="s">
        <v>445</v>
      </c>
      <c r="AE138" t="s">
        <v>236</v>
      </c>
      <c r="AJ138">
        <v>21449</v>
      </c>
      <c r="AK138">
        <v>130</v>
      </c>
      <c r="AL138">
        <v>270</v>
      </c>
      <c r="AM138">
        <v>1825</v>
      </c>
      <c r="AN138" t="s">
        <v>437</v>
      </c>
      <c r="AP138" s="3">
        <v>44416.375</v>
      </c>
    </row>
    <row r="139" spans="1:42" hidden="1" x14ac:dyDescent="0.25">
      <c r="A139" t="s">
        <v>59</v>
      </c>
      <c r="D139" t="s">
        <v>43</v>
      </c>
      <c r="E139" t="s">
        <v>446</v>
      </c>
      <c r="F139" s="1">
        <v>42591.416666666664</v>
      </c>
      <c r="G139" t="s">
        <v>44</v>
      </c>
      <c r="H139" t="s">
        <v>45</v>
      </c>
      <c r="I139" t="s">
        <v>46</v>
      </c>
      <c r="J139">
        <v>52874</v>
      </c>
      <c r="K139" t="s">
        <v>367</v>
      </c>
      <c r="L139">
        <v>1248064</v>
      </c>
      <c r="M139" t="s">
        <v>447</v>
      </c>
      <c r="P139">
        <v>509</v>
      </c>
      <c r="Q139">
        <v>539</v>
      </c>
      <c r="R139">
        <v>1770</v>
      </c>
      <c r="S139" t="s">
        <v>425</v>
      </c>
      <c r="V139" t="s">
        <v>48</v>
      </c>
      <c r="W139" t="s">
        <v>49</v>
      </c>
      <c r="X139" t="s">
        <v>50</v>
      </c>
      <c r="Z139" t="s">
        <v>448</v>
      </c>
      <c r="AA139">
        <v>43.309927000000002</v>
      </c>
      <c r="AB139">
        <v>-79.821955000000003</v>
      </c>
      <c r="AC139" t="s">
        <v>435</v>
      </c>
      <c r="AD139" t="s">
        <v>449</v>
      </c>
      <c r="AE139" t="s">
        <v>236</v>
      </c>
      <c r="AJ139">
        <v>21449</v>
      </c>
      <c r="AK139">
        <v>130</v>
      </c>
      <c r="AL139">
        <v>270</v>
      </c>
      <c r="AM139">
        <v>1825</v>
      </c>
      <c r="AN139" t="s">
        <v>437</v>
      </c>
      <c r="AP139" s="3">
        <v>44416.416666666664</v>
      </c>
    </row>
    <row r="140" spans="1:42" ht="14.45" hidden="1" customHeight="1" x14ac:dyDescent="0.25">
      <c r="A140" t="s">
        <v>59</v>
      </c>
      <c r="D140" t="s">
        <v>218</v>
      </c>
      <c r="E140" t="s">
        <v>450</v>
      </c>
      <c r="F140" s="1">
        <v>42592.395833333336</v>
      </c>
      <c r="G140" t="s">
        <v>44</v>
      </c>
      <c r="H140" t="s">
        <v>220</v>
      </c>
      <c r="I140" t="s">
        <v>221</v>
      </c>
      <c r="J140">
        <v>15194</v>
      </c>
      <c r="K140" t="s">
        <v>53</v>
      </c>
      <c r="L140">
        <v>1248031</v>
      </c>
      <c r="M140" t="s">
        <v>451</v>
      </c>
      <c r="Q140">
        <v>425</v>
      </c>
      <c r="R140">
        <v>990</v>
      </c>
      <c r="S140" t="s">
        <v>425</v>
      </c>
      <c r="V140" t="s">
        <v>48</v>
      </c>
      <c r="W140" t="s">
        <v>49</v>
      </c>
      <c r="X140" t="s">
        <v>50</v>
      </c>
      <c r="Z140" t="s">
        <v>452</v>
      </c>
      <c r="AA140">
        <v>43.277771999999999</v>
      </c>
      <c r="AB140">
        <v>-79.888034000000005</v>
      </c>
      <c r="AC140" t="s">
        <v>435</v>
      </c>
      <c r="AD140" t="s">
        <v>453</v>
      </c>
      <c r="AE140" t="s">
        <v>55</v>
      </c>
      <c r="AF140" t="s">
        <v>56</v>
      </c>
      <c r="AG140">
        <v>34</v>
      </c>
      <c r="AH140">
        <v>0.15160000000000001</v>
      </c>
      <c r="AI140">
        <v>-0.60650000000000004</v>
      </c>
      <c r="AJ140">
        <v>21449</v>
      </c>
      <c r="AK140">
        <v>130</v>
      </c>
      <c r="AL140">
        <v>270</v>
      </c>
      <c r="AM140">
        <v>1386</v>
      </c>
      <c r="AN140" t="s">
        <v>437</v>
      </c>
      <c r="AP140" s="3">
        <v>43978.395833333336</v>
      </c>
    </row>
    <row r="141" spans="1:42" ht="14.45" hidden="1" customHeight="1" x14ac:dyDescent="0.25">
      <c r="A141" t="s">
        <v>65</v>
      </c>
      <c r="C141" t="s">
        <v>74</v>
      </c>
      <c r="D141" t="s">
        <v>218</v>
      </c>
      <c r="E141" t="s">
        <v>454</v>
      </c>
      <c r="F141" s="1">
        <v>42592.395833333336</v>
      </c>
      <c r="G141" t="s">
        <v>44</v>
      </c>
      <c r="H141" t="s">
        <v>220</v>
      </c>
      <c r="I141" t="s">
        <v>221</v>
      </c>
      <c r="J141">
        <v>15195</v>
      </c>
      <c r="K141" t="s">
        <v>53</v>
      </c>
      <c r="L141">
        <v>1248032</v>
      </c>
      <c r="M141" t="s">
        <v>455</v>
      </c>
      <c r="Q141">
        <v>432</v>
      </c>
      <c r="R141">
        <v>1290</v>
      </c>
      <c r="S141" t="s">
        <v>425</v>
      </c>
      <c r="V141" t="s">
        <v>48</v>
      </c>
      <c r="W141" t="s">
        <v>49</v>
      </c>
      <c r="X141" t="s">
        <v>50</v>
      </c>
      <c r="Z141" t="s">
        <v>452</v>
      </c>
      <c r="AA141">
        <v>43.277771999999999</v>
      </c>
      <c r="AB141">
        <v>-79.888034000000005</v>
      </c>
      <c r="AC141" t="s">
        <v>435</v>
      </c>
      <c r="AD141" t="s">
        <v>456</v>
      </c>
      <c r="AE141" t="s">
        <v>55</v>
      </c>
      <c r="AF141" t="s">
        <v>56</v>
      </c>
      <c r="AG141">
        <v>34</v>
      </c>
      <c r="AH141">
        <v>0.15160000000000001</v>
      </c>
      <c r="AI141">
        <v>-0.60650000000000004</v>
      </c>
      <c r="AJ141">
        <v>21449</v>
      </c>
      <c r="AK141">
        <v>130</v>
      </c>
      <c r="AL141">
        <v>270</v>
      </c>
      <c r="AM141">
        <v>1386</v>
      </c>
      <c r="AN141" t="s">
        <v>437</v>
      </c>
      <c r="AP141" s="3">
        <v>43978.395833333336</v>
      </c>
    </row>
    <row r="142" spans="1:42" ht="14.45" hidden="1" customHeight="1" x14ac:dyDescent="0.25">
      <c r="A142" t="s">
        <v>59</v>
      </c>
      <c r="D142" t="s">
        <v>218</v>
      </c>
      <c r="E142" t="s">
        <v>457</v>
      </c>
      <c r="F142" s="1">
        <v>42592.395833333336</v>
      </c>
      <c r="G142" t="s">
        <v>44</v>
      </c>
      <c r="H142" t="s">
        <v>220</v>
      </c>
      <c r="I142" t="s">
        <v>221</v>
      </c>
      <c r="J142">
        <v>15247</v>
      </c>
      <c r="K142" t="s">
        <v>53</v>
      </c>
      <c r="L142">
        <v>1248083</v>
      </c>
      <c r="M142" t="s">
        <v>458</v>
      </c>
      <c r="Q142">
        <v>554</v>
      </c>
      <c r="R142">
        <v>2070</v>
      </c>
      <c r="S142" t="s">
        <v>440</v>
      </c>
      <c r="V142" t="s">
        <v>48</v>
      </c>
      <c r="W142" t="s">
        <v>49</v>
      </c>
      <c r="X142" t="s">
        <v>50</v>
      </c>
      <c r="Z142" t="s">
        <v>452</v>
      </c>
      <c r="AA142">
        <v>43.277771999999999</v>
      </c>
      <c r="AB142">
        <v>-79.888034000000005</v>
      </c>
      <c r="AC142" t="s">
        <v>435</v>
      </c>
      <c r="AD142" t="s">
        <v>459</v>
      </c>
      <c r="AE142" t="s">
        <v>55</v>
      </c>
      <c r="AF142" t="s">
        <v>56</v>
      </c>
      <c r="AG142">
        <v>34</v>
      </c>
      <c r="AH142">
        <v>0.15160000000000001</v>
      </c>
      <c r="AI142">
        <v>-0.60650000000000004</v>
      </c>
      <c r="AJ142">
        <v>21449</v>
      </c>
      <c r="AK142">
        <v>130</v>
      </c>
      <c r="AL142">
        <v>270</v>
      </c>
      <c r="AM142">
        <v>1386</v>
      </c>
      <c r="AN142" t="s">
        <v>437</v>
      </c>
      <c r="AP142" s="3">
        <v>43978.395833333336</v>
      </c>
    </row>
    <row r="143" spans="1:42" ht="14.45" hidden="1" customHeight="1" x14ac:dyDescent="0.25">
      <c r="A143" t="s">
        <v>65</v>
      </c>
      <c r="C143" t="s">
        <v>74</v>
      </c>
      <c r="D143" t="s">
        <v>218</v>
      </c>
      <c r="E143" t="s">
        <v>460</v>
      </c>
      <c r="F143" s="1">
        <v>42593.375</v>
      </c>
      <c r="G143" t="s">
        <v>44</v>
      </c>
      <c r="H143" t="s">
        <v>220</v>
      </c>
      <c r="I143" t="s">
        <v>221</v>
      </c>
      <c r="J143">
        <v>15199</v>
      </c>
      <c r="K143" t="s">
        <v>53</v>
      </c>
      <c r="L143">
        <v>1248036</v>
      </c>
      <c r="M143" t="s">
        <v>461</v>
      </c>
      <c r="Q143">
        <v>431</v>
      </c>
      <c r="R143">
        <v>1020</v>
      </c>
      <c r="S143" t="s">
        <v>440</v>
      </c>
      <c r="V143" t="s">
        <v>48</v>
      </c>
      <c r="W143" t="s">
        <v>49</v>
      </c>
      <c r="X143" t="s">
        <v>50</v>
      </c>
      <c r="Z143" t="s">
        <v>462</v>
      </c>
      <c r="AA143">
        <v>43.285939999999997</v>
      </c>
      <c r="AB143">
        <v>-79.873990000000006</v>
      </c>
      <c r="AC143" t="s">
        <v>435</v>
      </c>
      <c r="AD143" t="s">
        <v>463</v>
      </c>
      <c r="AE143" t="s">
        <v>55</v>
      </c>
      <c r="AF143" t="s">
        <v>56</v>
      </c>
      <c r="AG143">
        <v>34</v>
      </c>
      <c r="AH143">
        <v>0.15160000000000001</v>
      </c>
      <c r="AI143">
        <v>-0.60650000000000004</v>
      </c>
      <c r="AJ143">
        <v>21449</v>
      </c>
      <c r="AK143">
        <v>130</v>
      </c>
      <c r="AL143">
        <v>270</v>
      </c>
      <c r="AM143">
        <v>1386</v>
      </c>
      <c r="AN143" t="s">
        <v>437</v>
      </c>
      <c r="AP143" s="3">
        <v>43979.375</v>
      </c>
    </row>
    <row r="144" spans="1:42" ht="14.45" hidden="1" customHeight="1" x14ac:dyDescent="0.25">
      <c r="A144" t="s">
        <v>59</v>
      </c>
      <c r="D144" t="s">
        <v>218</v>
      </c>
      <c r="E144" t="s">
        <v>464</v>
      </c>
      <c r="F144" s="1">
        <v>42593.375</v>
      </c>
      <c r="G144" t="s">
        <v>44</v>
      </c>
      <c r="H144" t="s">
        <v>220</v>
      </c>
      <c r="I144" t="s">
        <v>221</v>
      </c>
      <c r="J144">
        <v>15245</v>
      </c>
      <c r="K144" t="s">
        <v>53</v>
      </c>
      <c r="L144">
        <v>1248081</v>
      </c>
      <c r="M144" t="s">
        <v>465</v>
      </c>
      <c r="Q144">
        <v>525</v>
      </c>
      <c r="R144">
        <v>1710</v>
      </c>
      <c r="S144" t="s">
        <v>425</v>
      </c>
      <c r="V144" t="s">
        <v>48</v>
      </c>
      <c r="W144" t="s">
        <v>49</v>
      </c>
      <c r="X144" t="s">
        <v>50</v>
      </c>
      <c r="Z144" t="s">
        <v>462</v>
      </c>
      <c r="AA144">
        <v>43.285939999999997</v>
      </c>
      <c r="AB144">
        <v>-79.873990000000006</v>
      </c>
      <c r="AC144" t="s">
        <v>435</v>
      </c>
      <c r="AD144" t="s">
        <v>466</v>
      </c>
      <c r="AE144" t="s">
        <v>55</v>
      </c>
      <c r="AF144" t="s">
        <v>56</v>
      </c>
      <c r="AG144">
        <v>34</v>
      </c>
      <c r="AH144">
        <v>0.15160000000000001</v>
      </c>
      <c r="AI144">
        <v>-0.60650000000000004</v>
      </c>
      <c r="AJ144">
        <v>21449</v>
      </c>
      <c r="AK144">
        <v>130</v>
      </c>
      <c r="AL144">
        <v>270</v>
      </c>
      <c r="AM144">
        <v>1386</v>
      </c>
      <c r="AN144" t="s">
        <v>437</v>
      </c>
      <c r="AP144" s="3">
        <v>43979.375</v>
      </c>
    </row>
    <row r="145" spans="1:42" ht="14.45" hidden="1" customHeight="1" x14ac:dyDescent="0.25">
      <c r="A145" t="s">
        <v>59</v>
      </c>
      <c r="D145" t="s">
        <v>218</v>
      </c>
      <c r="E145" t="s">
        <v>467</v>
      </c>
      <c r="F145" s="1">
        <v>42593.375</v>
      </c>
      <c r="G145" t="s">
        <v>44</v>
      </c>
      <c r="H145" t="s">
        <v>220</v>
      </c>
      <c r="I145" t="s">
        <v>221</v>
      </c>
      <c r="J145">
        <v>15248</v>
      </c>
      <c r="K145" t="s">
        <v>53</v>
      </c>
      <c r="L145">
        <v>1248084</v>
      </c>
      <c r="M145" t="s">
        <v>468</v>
      </c>
      <c r="Q145">
        <v>510</v>
      </c>
      <c r="R145">
        <v>1770</v>
      </c>
      <c r="S145" t="s">
        <v>425</v>
      </c>
      <c r="V145" t="s">
        <v>48</v>
      </c>
      <c r="W145" t="s">
        <v>49</v>
      </c>
      <c r="X145" t="s">
        <v>50</v>
      </c>
      <c r="Z145" t="s">
        <v>462</v>
      </c>
      <c r="AA145">
        <v>43.285939999999997</v>
      </c>
      <c r="AB145">
        <v>-79.873990000000006</v>
      </c>
      <c r="AC145" t="s">
        <v>435</v>
      </c>
      <c r="AD145" t="s">
        <v>469</v>
      </c>
      <c r="AE145" t="s">
        <v>55</v>
      </c>
      <c r="AF145" t="s">
        <v>56</v>
      </c>
      <c r="AG145">
        <v>34</v>
      </c>
      <c r="AH145">
        <v>0.15160000000000001</v>
      </c>
      <c r="AI145">
        <v>-0.60650000000000004</v>
      </c>
      <c r="AJ145">
        <v>21449</v>
      </c>
      <c r="AK145">
        <v>130</v>
      </c>
      <c r="AL145">
        <v>270</v>
      </c>
      <c r="AM145">
        <v>1386</v>
      </c>
      <c r="AN145" t="s">
        <v>437</v>
      </c>
      <c r="AP145" s="3">
        <v>43979.375</v>
      </c>
    </row>
    <row r="146" spans="1:42" hidden="1" x14ac:dyDescent="0.25">
      <c r="A146" t="s">
        <v>59</v>
      </c>
      <c r="D146" t="s">
        <v>43</v>
      </c>
      <c r="E146" t="s">
        <v>470</v>
      </c>
      <c r="F146" s="1">
        <v>42593.375</v>
      </c>
      <c r="G146" t="s">
        <v>44</v>
      </c>
      <c r="H146" t="s">
        <v>45</v>
      </c>
      <c r="I146" t="s">
        <v>46</v>
      </c>
      <c r="J146">
        <v>18962</v>
      </c>
      <c r="K146" t="s">
        <v>234</v>
      </c>
      <c r="L146">
        <v>1240681</v>
      </c>
      <c r="M146" t="s">
        <v>471</v>
      </c>
      <c r="P146">
        <v>538</v>
      </c>
      <c r="Q146">
        <v>570</v>
      </c>
      <c r="R146">
        <v>1800</v>
      </c>
      <c r="S146" t="s">
        <v>425</v>
      </c>
      <c r="V146" t="s">
        <v>48</v>
      </c>
      <c r="W146" t="s">
        <v>49</v>
      </c>
      <c r="X146" t="s">
        <v>50</v>
      </c>
      <c r="Z146" t="s">
        <v>462</v>
      </c>
      <c r="AA146">
        <v>43.285939999999997</v>
      </c>
      <c r="AB146">
        <v>-79.873990000000006</v>
      </c>
      <c r="AC146" t="s">
        <v>435</v>
      </c>
      <c r="AD146" t="s">
        <v>472</v>
      </c>
      <c r="AE146" t="s">
        <v>236</v>
      </c>
      <c r="AJ146">
        <v>20778</v>
      </c>
      <c r="AK146">
        <v>130</v>
      </c>
      <c r="AL146">
        <v>270</v>
      </c>
      <c r="AM146">
        <v>1830</v>
      </c>
      <c r="AN146" t="s">
        <v>437</v>
      </c>
      <c r="AP146" s="3">
        <f t="shared" ref="AP146:AP150" si="2">F146+AM146</f>
        <v>44423.375</v>
      </c>
    </row>
    <row r="147" spans="1:42" hidden="1" x14ac:dyDescent="0.25">
      <c r="A147" t="s">
        <v>59</v>
      </c>
      <c r="D147" t="s">
        <v>43</v>
      </c>
      <c r="E147" t="s">
        <v>473</v>
      </c>
      <c r="F147" s="1">
        <v>42593.458333333336</v>
      </c>
      <c r="G147" t="s">
        <v>44</v>
      </c>
      <c r="H147" t="s">
        <v>45</v>
      </c>
      <c r="I147" t="s">
        <v>46</v>
      </c>
      <c r="J147">
        <v>18958</v>
      </c>
      <c r="K147" t="s">
        <v>234</v>
      </c>
      <c r="L147">
        <v>1240677</v>
      </c>
      <c r="M147" t="s">
        <v>474</v>
      </c>
      <c r="P147">
        <v>513</v>
      </c>
      <c r="Q147">
        <v>542</v>
      </c>
      <c r="R147">
        <v>1710</v>
      </c>
      <c r="S147" t="s">
        <v>425</v>
      </c>
      <c r="V147" t="s">
        <v>48</v>
      </c>
      <c r="W147" t="s">
        <v>49</v>
      </c>
      <c r="X147" t="s">
        <v>50</v>
      </c>
      <c r="Z147" t="s">
        <v>475</v>
      </c>
      <c r="AA147">
        <v>43.294598000000001</v>
      </c>
      <c r="AB147">
        <v>-79.795826000000005</v>
      </c>
      <c r="AC147" t="s">
        <v>435</v>
      </c>
      <c r="AD147" t="s">
        <v>476</v>
      </c>
      <c r="AE147" t="s">
        <v>236</v>
      </c>
      <c r="AJ147">
        <v>20778</v>
      </c>
      <c r="AK147">
        <v>130</v>
      </c>
      <c r="AL147">
        <v>270</v>
      </c>
      <c r="AM147">
        <v>1830</v>
      </c>
      <c r="AN147" t="s">
        <v>437</v>
      </c>
      <c r="AP147" s="3">
        <f t="shared" si="2"/>
        <v>44423.458333333336</v>
      </c>
    </row>
    <row r="148" spans="1:42" hidden="1" x14ac:dyDescent="0.25">
      <c r="A148" t="s">
        <v>65</v>
      </c>
      <c r="C148" t="s">
        <v>74</v>
      </c>
      <c r="D148" t="s">
        <v>43</v>
      </c>
      <c r="E148" t="s">
        <v>477</v>
      </c>
      <c r="F148" s="1">
        <v>42593.458333333336</v>
      </c>
      <c r="G148" t="s">
        <v>44</v>
      </c>
      <c r="H148" t="s">
        <v>45</v>
      </c>
      <c r="I148" t="s">
        <v>46</v>
      </c>
      <c r="J148">
        <v>18959</v>
      </c>
      <c r="K148" t="s">
        <v>234</v>
      </c>
      <c r="L148">
        <v>1240678</v>
      </c>
      <c r="M148" t="s">
        <v>478</v>
      </c>
      <c r="P148">
        <v>530</v>
      </c>
      <c r="Q148">
        <v>562</v>
      </c>
      <c r="R148">
        <v>2010</v>
      </c>
      <c r="S148" t="s">
        <v>440</v>
      </c>
      <c r="V148" t="s">
        <v>48</v>
      </c>
      <c r="W148" t="s">
        <v>49</v>
      </c>
      <c r="X148" t="s">
        <v>50</v>
      </c>
      <c r="Z148" t="s">
        <v>475</v>
      </c>
      <c r="AA148">
        <v>43.294598000000001</v>
      </c>
      <c r="AB148">
        <v>-79.795826000000005</v>
      </c>
      <c r="AC148" t="s">
        <v>435</v>
      </c>
      <c r="AD148" t="s">
        <v>479</v>
      </c>
      <c r="AE148" t="s">
        <v>236</v>
      </c>
      <c r="AJ148">
        <v>20778</v>
      </c>
      <c r="AK148">
        <v>130</v>
      </c>
      <c r="AL148">
        <v>270</v>
      </c>
      <c r="AM148">
        <v>1830</v>
      </c>
      <c r="AN148" t="s">
        <v>437</v>
      </c>
      <c r="AP148" s="3">
        <f t="shared" si="2"/>
        <v>44423.458333333336</v>
      </c>
    </row>
    <row r="149" spans="1:42" hidden="1" x14ac:dyDescent="0.25">
      <c r="A149" t="s">
        <v>59</v>
      </c>
      <c r="D149" t="s">
        <v>43</v>
      </c>
      <c r="E149" t="s">
        <v>480</v>
      </c>
      <c r="F149" s="1">
        <v>42593.458333333336</v>
      </c>
      <c r="G149" t="s">
        <v>44</v>
      </c>
      <c r="H149" t="s">
        <v>45</v>
      </c>
      <c r="I149" t="s">
        <v>46</v>
      </c>
      <c r="J149">
        <v>18960</v>
      </c>
      <c r="K149" t="s">
        <v>234</v>
      </c>
      <c r="L149">
        <v>1240679</v>
      </c>
      <c r="M149" t="s">
        <v>481</v>
      </c>
      <c r="P149">
        <v>558</v>
      </c>
      <c r="Q149">
        <v>600</v>
      </c>
      <c r="R149">
        <v>2180</v>
      </c>
      <c r="S149" t="s">
        <v>440</v>
      </c>
      <c r="V149" t="s">
        <v>48</v>
      </c>
      <c r="W149" t="s">
        <v>49</v>
      </c>
      <c r="X149" t="s">
        <v>50</v>
      </c>
      <c r="Z149" t="s">
        <v>475</v>
      </c>
      <c r="AA149">
        <v>43.294598000000001</v>
      </c>
      <c r="AB149">
        <v>-79.795826000000005</v>
      </c>
      <c r="AC149" t="s">
        <v>435</v>
      </c>
      <c r="AD149" t="s">
        <v>482</v>
      </c>
      <c r="AE149" t="s">
        <v>236</v>
      </c>
      <c r="AJ149">
        <v>20778</v>
      </c>
      <c r="AK149">
        <v>130</v>
      </c>
      <c r="AL149">
        <v>270</v>
      </c>
      <c r="AM149">
        <v>1830</v>
      </c>
      <c r="AN149" t="s">
        <v>437</v>
      </c>
      <c r="AP149" s="3">
        <f t="shared" si="2"/>
        <v>44423.458333333336</v>
      </c>
    </row>
    <row r="150" spans="1:42" hidden="1" x14ac:dyDescent="0.25">
      <c r="A150" t="s">
        <v>59</v>
      </c>
      <c r="D150" t="s">
        <v>43</v>
      </c>
      <c r="E150" t="s">
        <v>483</v>
      </c>
      <c r="F150" s="1">
        <v>42593.458333333336</v>
      </c>
      <c r="G150" t="s">
        <v>44</v>
      </c>
      <c r="H150" t="s">
        <v>45</v>
      </c>
      <c r="I150" t="s">
        <v>46</v>
      </c>
      <c r="J150">
        <v>18961</v>
      </c>
      <c r="K150" t="s">
        <v>234</v>
      </c>
      <c r="L150">
        <v>1240680</v>
      </c>
      <c r="M150" t="s">
        <v>484</v>
      </c>
      <c r="P150">
        <v>545</v>
      </c>
      <c r="Q150">
        <v>575</v>
      </c>
      <c r="R150">
        <v>2160</v>
      </c>
      <c r="S150" t="s">
        <v>440</v>
      </c>
      <c r="V150" t="s">
        <v>48</v>
      </c>
      <c r="W150" t="s">
        <v>49</v>
      </c>
      <c r="X150" t="s">
        <v>50</v>
      </c>
      <c r="Z150" t="s">
        <v>475</v>
      </c>
      <c r="AA150">
        <v>43.294598000000001</v>
      </c>
      <c r="AB150">
        <v>-79.795826000000005</v>
      </c>
      <c r="AC150" t="s">
        <v>435</v>
      </c>
      <c r="AD150" t="s">
        <v>485</v>
      </c>
      <c r="AE150" t="s">
        <v>236</v>
      </c>
      <c r="AJ150">
        <v>20778</v>
      </c>
      <c r="AK150">
        <v>130</v>
      </c>
      <c r="AL150">
        <v>270</v>
      </c>
      <c r="AM150">
        <v>1830</v>
      </c>
      <c r="AN150" t="s">
        <v>437</v>
      </c>
      <c r="AP150" s="3">
        <f t="shared" si="2"/>
        <v>44423.458333333336</v>
      </c>
    </row>
    <row r="151" spans="1:42" ht="14.45" hidden="1" customHeight="1" x14ac:dyDescent="0.25">
      <c r="A151" t="s">
        <v>65</v>
      </c>
      <c r="C151" s="2">
        <v>44486</v>
      </c>
      <c r="D151" t="s">
        <v>218</v>
      </c>
      <c r="E151" t="s">
        <v>486</v>
      </c>
      <c r="F151" s="1">
        <v>42613.025000000001</v>
      </c>
      <c r="G151" t="s">
        <v>44</v>
      </c>
      <c r="H151" t="s">
        <v>220</v>
      </c>
      <c r="I151" t="s">
        <v>221</v>
      </c>
      <c r="J151">
        <v>15201</v>
      </c>
      <c r="K151" t="s">
        <v>53</v>
      </c>
      <c r="L151">
        <v>1248038</v>
      </c>
      <c r="M151" t="s">
        <v>487</v>
      </c>
      <c r="P151">
        <v>485</v>
      </c>
      <c r="R151">
        <v>2240</v>
      </c>
      <c r="V151" t="s">
        <v>48</v>
      </c>
      <c r="W151" t="s">
        <v>49</v>
      </c>
      <c r="X151" t="s">
        <v>50</v>
      </c>
      <c r="Z151" t="s">
        <v>426</v>
      </c>
      <c r="AA151">
        <v>43.273611000000002</v>
      </c>
      <c r="AB151">
        <v>-79.885278</v>
      </c>
      <c r="AC151" t="s">
        <v>138</v>
      </c>
      <c r="AD151" t="s">
        <v>488</v>
      </c>
      <c r="AE151" t="s">
        <v>55</v>
      </c>
      <c r="AF151" t="s">
        <v>56</v>
      </c>
      <c r="AG151">
        <v>34</v>
      </c>
      <c r="AH151">
        <v>0.15160000000000001</v>
      </c>
      <c r="AI151">
        <v>-0.60650000000000004</v>
      </c>
      <c r="AJ151">
        <v>21449</v>
      </c>
      <c r="AK151">
        <v>130</v>
      </c>
      <c r="AL151">
        <v>270</v>
      </c>
      <c r="AM151">
        <v>1386</v>
      </c>
      <c r="AN151" t="s">
        <v>437</v>
      </c>
      <c r="AP151" s="3">
        <v>43999.025000000001</v>
      </c>
    </row>
    <row r="152" spans="1:42" hidden="1" x14ac:dyDescent="0.25">
      <c r="A152" t="s">
        <v>59</v>
      </c>
      <c r="D152" t="s">
        <v>43</v>
      </c>
      <c r="E152" t="s">
        <v>489</v>
      </c>
      <c r="F152" s="1">
        <v>42838.916666666664</v>
      </c>
      <c r="G152" t="s">
        <v>44</v>
      </c>
      <c r="H152" t="s">
        <v>45</v>
      </c>
      <c r="I152" t="s">
        <v>46</v>
      </c>
      <c r="J152">
        <v>16053</v>
      </c>
      <c r="K152" t="s">
        <v>490</v>
      </c>
      <c r="L152">
        <v>1265870</v>
      </c>
      <c r="M152" t="s">
        <v>342</v>
      </c>
      <c r="P152">
        <v>580</v>
      </c>
      <c r="Q152">
        <v>610</v>
      </c>
      <c r="R152">
        <v>2240</v>
      </c>
      <c r="S152" t="s">
        <v>202</v>
      </c>
      <c r="V152" t="s">
        <v>48</v>
      </c>
      <c r="W152" t="s">
        <v>49</v>
      </c>
      <c r="X152" t="s">
        <v>50</v>
      </c>
      <c r="Z152" t="s">
        <v>491</v>
      </c>
      <c r="AC152" t="s">
        <v>492</v>
      </c>
      <c r="AD152" t="s">
        <v>493</v>
      </c>
      <c r="AE152" t="s">
        <v>55</v>
      </c>
      <c r="AF152" t="s">
        <v>56</v>
      </c>
      <c r="AG152">
        <v>34</v>
      </c>
      <c r="AH152">
        <v>0.15160000000000001</v>
      </c>
      <c r="AI152">
        <v>-0.60650000000000004</v>
      </c>
      <c r="AJ152">
        <v>22970</v>
      </c>
      <c r="AK152">
        <v>130</v>
      </c>
      <c r="AL152">
        <v>270</v>
      </c>
      <c r="AM152">
        <v>1388</v>
      </c>
      <c r="AN152" t="s">
        <v>494</v>
      </c>
      <c r="AP152" s="3">
        <v>44226.916666666664</v>
      </c>
    </row>
    <row r="153" spans="1:42" hidden="1" x14ac:dyDescent="0.25">
      <c r="A153" t="s">
        <v>59</v>
      </c>
      <c r="C153" t="s">
        <v>495</v>
      </c>
      <c r="D153" t="s">
        <v>43</v>
      </c>
      <c r="E153" t="s">
        <v>496</v>
      </c>
      <c r="F153" s="1">
        <v>42838.916666666664</v>
      </c>
      <c r="G153" t="s">
        <v>44</v>
      </c>
      <c r="H153" t="s">
        <v>45</v>
      </c>
      <c r="I153" t="s">
        <v>46</v>
      </c>
      <c r="J153">
        <v>16054</v>
      </c>
      <c r="K153" t="s">
        <v>490</v>
      </c>
      <c r="L153">
        <v>1265871</v>
      </c>
      <c r="M153" t="s">
        <v>342</v>
      </c>
      <c r="P153">
        <v>660</v>
      </c>
      <c r="Q153">
        <v>690</v>
      </c>
      <c r="R153">
        <v>3500</v>
      </c>
      <c r="S153" t="s">
        <v>202</v>
      </c>
      <c r="V153" t="s">
        <v>48</v>
      </c>
      <c r="W153" t="s">
        <v>49</v>
      </c>
      <c r="X153" t="s">
        <v>50</v>
      </c>
      <c r="Z153" t="s">
        <v>497</v>
      </c>
      <c r="AA153">
        <v>43.284050000000001</v>
      </c>
      <c r="AB153">
        <v>-79.792950000000005</v>
      </c>
      <c r="AC153" t="s">
        <v>492</v>
      </c>
      <c r="AD153" t="s">
        <v>498</v>
      </c>
      <c r="AE153" t="s">
        <v>55</v>
      </c>
      <c r="AF153" t="s">
        <v>56</v>
      </c>
      <c r="AG153">
        <v>34</v>
      </c>
      <c r="AH153">
        <v>0.15160000000000001</v>
      </c>
      <c r="AI153">
        <v>-0.60650000000000004</v>
      </c>
      <c r="AJ153">
        <v>22970</v>
      </c>
      <c r="AK153">
        <v>130</v>
      </c>
      <c r="AL153">
        <v>270</v>
      </c>
      <c r="AM153">
        <v>1388</v>
      </c>
      <c r="AP153" s="3">
        <v>44226.916666666664</v>
      </c>
    </row>
    <row r="154" spans="1:42" hidden="1" x14ac:dyDescent="0.25">
      <c r="A154" t="s">
        <v>59</v>
      </c>
      <c r="D154" t="s">
        <v>43</v>
      </c>
      <c r="E154" t="s">
        <v>499</v>
      </c>
      <c r="F154" s="1">
        <v>42838.916666666664</v>
      </c>
      <c r="G154" t="s">
        <v>44</v>
      </c>
      <c r="H154" t="s">
        <v>45</v>
      </c>
      <c r="I154" t="s">
        <v>46</v>
      </c>
      <c r="J154">
        <v>16063</v>
      </c>
      <c r="K154" t="s">
        <v>490</v>
      </c>
      <c r="L154">
        <v>1265880</v>
      </c>
      <c r="M154" t="s">
        <v>342</v>
      </c>
      <c r="P154">
        <v>575</v>
      </c>
      <c r="Q154">
        <v>605</v>
      </c>
      <c r="R154">
        <v>2300</v>
      </c>
      <c r="S154" t="s">
        <v>202</v>
      </c>
      <c r="V154" t="s">
        <v>48</v>
      </c>
      <c r="W154" t="s">
        <v>49</v>
      </c>
      <c r="X154" t="s">
        <v>50</v>
      </c>
      <c r="Z154" t="s">
        <v>491</v>
      </c>
      <c r="AC154" t="s">
        <v>492</v>
      </c>
      <c r="AD154" t="s">
        <v>500</v>
      </c>
      <c r="AE154" t="s">
        <v>55</v>
      </c>
      <c r="AF154" t="s">
        <v>56</v>
      </c>
      <c r="AG154">
        <v>34</v>
      </c>
      <c r="AH154">
        <v>0.15160000000000001</v>
      </c>
      <c r="AI154">
        <v>-0.60650000000000004</v>
      </c>
      <c r="AJ154">
        <v>22970</v>
      </c>
      <c r="AK154">
        <v>130</v>
      </c>
      <c r="AL154">
        <v>270</v>
      </c>
      <c r="AM154">
        <v>1388</v>
      </c>
      <c r="AP154" s="3">
        <v>44226.916666666664</v>
      </c>
    </row>
    <row r="155" spans="1:42" hidden="1" x14ac:dyDescent="0.25">
      <c r="A155" t="s">
        <v>59</v>
      </c>
      <c r="D155" t="s">
        <v>43</v>
      </c>
      <c r="E155" t="s">
        <v>501</v>
      </c>
      <c r="F155" s="1">
        <v>42843.916666666664</v>
      </c>
      <c r="G155" t="s">
        <v>44</v>
      </c>
      <c r="H155" t="s">
        <v>45</v>
      </c>
      <c r="I155" t="s">
        <v>46</v>
      </c>
      <c r="J155">
        <v>16051</v>
      </c>
      <c r="K155" t="s">
        <v>490</v>
      </c>
      <c r="L155">
        <v>1265868</v>
      </c>
      <c r="M155">
        <v>291</v>
      </c>
      <c r="P155">
        <v>548</v>
      </c>
      <c r="Q155">
        <v>584</v>
      </c>
      <c r="R155">
        <v>2250</v>
      </c>
      <c r="S155" t="s">
        <v>202</v>
      </c>
      <c r="V155" t="s">
        <v>48</v>
      </c>
      <c r="W155" t="s">
        <v>49</v>
      </c>
      <c r="X155" t="s">
        <v>50</v>
      </c>
      <c r="Z155" t="s">
        <v>502</v>
      </c>
      <c r="AC155" t="s">
        <v>492</v>
      </c>
      <c r="AD155" t="s">
        <v>503</v>
      </c>
      <c r="AE155" t="s">
        <v>55</v>
      </c>
      <c r="AF155" t="s">
        <v>56</v>
      </c>
      <c r="AG155">
        <v>34</v>
      </c>
      <c r="AH155">
        <v>0.15160000000000001</v>
      </c>
      <c r="AI155">
        <v>-0.60650000000000004</v>
      </c>
      <c r="AJ155">
        <v>22970</v>
      </c>
      <c r="AK155">
        <v>130</v>
      </c>
      <c r="AL155">
        <v>270</v>
      </c>
      <c r="AM155">
        <v>1388</v>
      </c>
      <c r="AP155" s="3">
        <v>44231.916666666664</v>
      </c>
    </row>
    <row r="156" spans="1:42" hidden="1" x14ac:dyDescent="0.25">
      <c r="A156" t="s">
        <v>59</v>
      </c>
      <c r="D156" t="s">
        <v>43</v>
      </c>
      <c r="E156" t="s">
        <v>504</v>
      </c>
      <c r="F156" s="1">
        <v>42843.916666666664</v>
      </c>
      <c r="G156" t="s">
        <v>44</v>
      </c>
      <c r="H156" t="s">
        <v>45</v>
      </c>
      <c r="I156" t="s">
        <v>46</v>
      </c>
      <c r="J156">
        <v>16052</v>
      </c>
      <c r="K156" t="s">
        <v>490</v>
      </c>
      <c r="L156">
        <v>1265869</v>
      </c>
      <c r="M156">
        <v>188</v>
      </c>
      <c r="P156">
        <v>554</v>
      </c>
      <c r="Q156">
        <v>579</v>
      </c>
      <c r="R156">
        <v>1940</v>
      </c>
      <c r="S156" t="s">
        <v>202</v>
      </c>
      <c r="V156" t="s">
        <v>48</v>
      </c>
      <c r="W156" t="s">
        <v>49</v>
      </c>
      <c r="X156" t="s">
        <v>50</v>
      </c>
      <c r="Z156" t="s">
        <v>497</v>
      </c>
      <c r="AA156">
        <v>43.301749999999998</v>
      </c>
      <c r="AB156">
        <v>-79.801569999999998</v>
      </c>
      <c r="AC156" t="s">
        <v>492</v>
      </c>
      <c r="AD156" t="s">
        <v>505</v>
      </c>
      <c r="AE156" t="s">
        <v>55</v>
      </c>
      <c r="AF156" t="s">
        <v>56</v>
      </c>
      <c r="AG156">
        <v>34</v>
      </c>
      <c r="AH156">
        <v>0.15160000000000001</v>
      </c>
      <c r="AI156">
        <v>-0.60650000000000004</v>
      </c>
      <c r="AJ156">
        <v>22970</v>
      </c>
      <c r="AK156">
        <v>130</v>
      </c>
      <c r="AL156">
        <v>270</v>
      </c>
      <c r="AM156">
        <v>1388</v>
      </c>
      <c r="AP156" s="3">
        <v>44231.916666666664</v>
      </c>
    </row>
    <row r="157" spans="1:42" hidden="1" x14ac:dyDescent="0.25">
      <c r="A157" t="s">
        <v>59</v>
      </c>
      <c r="D157" t="s">
        <v>43</v>
      </c>
      <c r="E157" t="s">
        <v>506</v>
      </c>
      <c r="F157" s="1">
        <v>42843.916666666664</v>
      </c>
      <c r="G157" t="s">
        <v>44</v>
      </c>
      <c r="H157" t="s">
        <v>45</v>
      </c>
      <c r="I157" t="s">
        <v>46</v>
      </c>
      <c r="J157">
        <v>16061</v>
      </c>
      <c r="K157" t="s">
        <v>490</v>
      </c>
      <c r="L157">
        <v>1265878</v>
      </c>
      <c r="M157">
        <v>292</v>
      </c>
      <c r="P157">
        <v>535</v>
      </c>
      <c r="Q157">
        <v>562</v>
      </c>
      <c r="R157">
        <v>1760</v>
      </c>
      <c r="S157" t="s">
        <v>202</v>
      </c>
      <c r="V157" t="s">
        <v>48</v>
      </c>
      <c r="W157" t="s">
        <v>49</v>
      </c>
      <c r="X157" t="s">
        <v>50</v>
      </c>
      <c r="Z157" t="s">
        <v>502</v>
      </c>
      <c r="AC157" t="s">
        <v>492</v>
      </c>
      <c r="AD157" t="s">
        <v>507</v>
      </c>
      <c r="AE157" t="s">
        <v>55</v>
      </c>
      <c r="AF157" t="s">
        <v>56</v>
      </c>
      <c r="AG157">
        <v>34</v>
      </c>
      <c r="AH157">
        <v>0.15160000000000001</v>
      </c>
      <c r="AI157">
        <v>-0.60650000000000004</v>
      </c>
      <c r="AJ157">
        <v>22970</v>
      </c>
      <c r="AK157">
        <v>130</v>
      </c>
      <c r="AL157">
        <v>270</v>
      </c>
      <c r="AM157">
        <v>1388</v>
      </c>
      <c r="AP157" s="3">
        <v>44231.916666666664</v>
      </c>
    </row>
    <row r="158" spans="1:42" hidden="1" x14ac:dyDescent="0.25">
      <c r="A158" t="s">
        <v>59</v>
      </c>
      <c r="D158" t="s">
        <v>43</v>
      </c>
      <c r="E158" t="s">
        <v>508</v>
      </c>
      <c r="F158" s="1">
        <v>42843.916666666664</v>
      </c>
      <c r="G158" t="s">
        <v>44</v>
      </c>
      <c r="H158" t="s">
        <v>45</v>
      </c>
      <c r="I158" t="s">
        <v>46</v>
      </c>
      <c r="J158">
        <v>16062</v>
      </c>
      <c r="K158" t="s">
        <v>490</v>
      </c>
      <c r="L158">
        <v>1265879</v>
      </c>
      <c r="M158">
        <v>187</v>
      </c>
      <c r="P158">
        <v>556</v>
      </c>
      <c r="Q158">
        <v>579</v>
      </c>
      <c r="R158">
        <v>1980</v>
      </c>
      <c r="S158" t="s">
        <v>202</v>
      </c>
      <c r="V158" t="s">
        <v>48</v>
      </c>
      <c r="W158" t="s">
        <v>49</v>
      </c>
      <c r="X158" t="s">
        <v>50</v>
      </c>
      <c r="Z158" t="s">
        <v>497</v>
      </c>
      <c r="AA158">
        <v>43.301749999999998</v>
      </c>
      <c r="AB158">
        <v>-79.801569999999998</v>
      </c>
      <c r="AC158" t="s">
        <v>492</v>
      </c>
      <c r="AD158" t="s">
        <v>509</v>
      </c>
      <c r="AE158" t="s">
        <v>55</v>
      </c>
      <c r="AF158" t="s">
        <v>56</v>
      </c>
      <c r="AG158">
        <v>34</v>
      </c>
      <c r="AH158">
        <v>0.15160000000000001</v>
      </c>
      <c r="AI158">
        <v>-0.60650000000000004</v>
      </c>
      <c r="AJ158">
        <v>22970</v>
      </c>
      <c r="AK158">
        <v>130</v>
      </c>
      <c r="AL158">
        <v>270</v>
      </c>
      <c r="AM158">
        <v>1388</v>
      </c>
      <c r="AP158" s="3">
        <v>44231.916666666664</v>
      </c>
    </row>
    <row r="159" spans="1:42" hidden="1" x14ac:dyDescent="0.25">
      <c r="A159" t="s">
        <v>59</v>
      </c>
      <c r="D159" t="s">
        <v>43</v>
      </c>
      <c r="E159" t="s">
        <v>510</v>
      </c>
      <c r="F159" s="1">
        <v>42844.916666666664</v>
      </c>
      <c r="G159" t="s">
        <v>44</v>
      </c>
      <c r="H159" t="s">
        <v>45</v>
      </c>
      <c r="I159" t="s">
        <v>46</v>
      </c>
      <c r="J159">
        <v>16050</v>
      </c>
      <c r="K159" t="s">
        <v>490</v>
      </c>
      <c r="L159">
        <v>1265867</v>
      </c>
      <c r="M159">
        <v>290</v>
      </c>
      <c r="P159">
        <v>656</v>
      </c>
      <c r="Q159">
        <v>693</v>
      </c>
      <c r="R159">
        <v>4100</v>
      </c>
      <c r="S159" t="s">
        <v>206</v>
      </c>
      <c r="V159" t="s">
        <v>48</v>
      </c>
      <c r="W159" t="s">
        <v>49</v>
      </c>
      <c r="X159" t="s">
        <v>50</v>
      </c>
      <c r="Z159" t="s">
        <v>300</v>
      </c>
      <c r="AA159">
        <v>43.270539999999997</v>
      </c>
      <c r="AB159">
        <v>-79.808679999999995</v>
      </c>
      <c r="AC159" t="s">
        <v>492</v>
      </c>
      <c r="AD159" t="s">
        <v>511</v>
      </c>
      <c r="AE159" t="s">
        <v>55</v>
      </c>
      <c r="AF159" t="s">
        <v>56</v>
      </c>
      <c r="AG159">
        <v>34</v>
      </c>
      <c r="AH159">
        <v>0.15160000000000001</v>
      </c>
      <c r="AI159">
        <v>-0.60650000000000004</v>
      </c>
      <c r="AJ159">
        <v>22970</v>
      </c>
      <c r="AK159">
        <v>130</v>
      </c>
      <c r="AL159">
        <v>270</v>
      </c>
      <c r="AM159">
        <v>1388</v>
      </c>
      <c r="AN159" t="s">
        <v>512</v>
      </c>
      <c r="AP159" s="3">
        <v>44232.916666666664</v>
      </c>
    </row>
    <row r="160" spans="1:42" hidden="1" x14ac:dyDescent="0.25">
      <c r="A160" t="s">
        <v>59</v>
      </c>
      <c r="D160" t="s">
        <v>43</v>
      </c>
      <c r="E160" t="s">
        <v>513</v>
      </c>
      <c r="F160" s="1">
        <v>42844.916666666664</v>
      </c>
      <c r="G160" t="s">
        <v>44</v>
      </c>
      <c r="H160" t="s">
        <v>45</v>
      </c>
      <c r="I160" t="s">
        <v>46</v>
      </c>
      <c r="J160">
        <v>16055</v>
      </c>
      <c r="K160" t="s">
        <v>490</v>
      </c>
      <c r="L160">
        <v>1265872</v>
      </c>
      <c r="M160">
        <v>288</v>
      </c>
      <c r="P160">
        <v>555</v>
      </c>
      <c r="Q160">
        <v>574</v>
      </c>
      <c r="R160">
        <v>2200</v>
      </c>
      <c r="S160" t="s">
        <v>202</v>
      </c>
      <c r="V160" t="s">
        <v>48</v>
      </c>
      <c r="W160" t="s">
        <v>49</v>
      </c>
      <c r="X160" t="s">
        <v>50</v>
      </c>
      <c r="Z160" t="s">
        <v>497</v>
      </c>
      <c r="AA160">
        <v>43.271479999999997</v>
      </c>
      <c r="AB160">
        <v>-79.808610000000002</v>
      </c>
      <c r="AC160" t="s">
        <v>492</v>
      </c>
      <c r="AD160" t="s">
        <v>514</v>
      </c>
      <c r="AE160" t="s">
        <v>55</v>
      </c>
      <c r="AF160" t="s">
        <v>56</v>
      </c>
      <c r="AG160">
        <v>34</v>
      </c>
      <c r="AH160">
        <v>0.15160000000000001</v>
      </c>
      <c r="AI160">
        <v>-0.60650000000000004</v>
      </c>
      <c r="AJ160">
        <v>22970</v>
      </c>
      <c r="AK160">
        <v>130</v>
      </c>
      <c r="AL160">
        <v>270</v>
      </c>
      <c r="AM160">
        <v>1388</v>
      </c>
      <c r="AN160" t="s">
        <v>515</v>
      </c>
      <c r="AP160" s="3">
        <v>44232.916666666664</v>
      </c>
    </row>
    <row r="161" spans="1:42" hidden="1" x14ac:dyDescent="0.25">
      <c r="A161" t="s">
        <v>59</v>
      </c>
      <c r="D161" t="s">
        <v>43</v>
      </c>
      <c r="E161" t="s">
        <v>516</v>
      </c>
      <c r="F161" s="1">
        <v>42844.916666666664</v>
      </c>
      <c r="G161" t="s">
        <v>44</v>
      </c>
      <c r="H161" t="s">
        <v>45</v>
      </c>
      <c r="I161" t="s">
        <v>46</v>
      </c>
      <c r="J161">
        <v>16056</v>
      </c>
      <c r="K161" t="s">
        <v>490</v>
      </c>
      <c r="L161">
        <v>1265873</v>
      </c>
      <c r="M161">
        <v>256</v>
      </c>
      <c r="P161">
        <v>583</v>
      </c>
      <c r="Q161">
        <v>610</v>
      </c>
      <c r="R161">
        <v>2500</v>
      </c>
      <c r="S161" t="s">
        <v>202</v>
      </c>
      <c r="V161" t="s">
        <v>48</v>
      </c>
      <c r="W161" t="s">
        <v>49</v>
      </c>
      <c r="X161" t="s">
        <v>50</v>
      </c>
      <c r="Z161" t="s">
        <v>497</v>
      </c>
      <c r="AA161">
        <v>43.271479999999997</v>
      </c>
      <c r="AB161">
        <v>-79.808610000000002</v>
      </c>
      <c r="AC161" t="s">
        <v>492</v>
      </c>
      <c r="AD161" t="s">
        <v>517</v>
      </c>
      <c r="AE161" t="s">
        <v>55</v>
      </c>
      <c r="AF161" t="s">
        <v>56</v>
      </c>
      <c r="AG161">
        <v>34</v>
      </c>
      <c r="AH161">
        <v>0.15160000000000001</v>
      </c>
      <c r="AI161">
        <v>-0.60650000000000004</v>
      </c>
      <c r="AJ161">
        <v>22970</v>
      </c>
      <c r="AK161">
        <v>130</v>
      </c>
      <c r="AL161">
        <v>270</v>
      </c>
      <c r="AM161">
        <v>1388</v>
      </c>
      <c r="AN161" t="s">
        <v>518</v>
      </c>
      <c r="AP161" s="3">
        <v>44232.916666666664</v>
      </c>
    </row>
    <row r="162" spans="1:42" hidden="1" x14ac:dyDescent="0.25">
      <c r="A162" t="s">
        <v>59</v>
      </c>
      <c r="D162" t="s">
        <v>43</v>
      </c>
      <c r="E162" t="s">
        <v>519</v>
      </c>
      <c r="F162" s="1">
        <v>42844.916666666664</v>
      </c>
      <c r="G162" t="s">
        <v>44</v>
      </c>
      <c r="H162" t="s">
        <v>45</v>
      </c>
      <c r="I162" t="s">
        <v>46</v>
      </c>
      <c r="J162">
        <v>16057</v>
      </c>
      <c r="K162" t="s">
        <v>490</v>
      </c>
      <c r="L162">
        <v>1265874</v>
      </c>
      <c r="M162">
        <v>258</v>
      </c>
      <c r="P162">
        <v>620</v>
      </c>
      <c r="Q162">
        <v>652</v>
      </c>
      <c r="R162">
        <v>3150</v>
      </c>
      <c r="S162" t="s">
        <v>206</v>
      </c>
      <c r="V162" t="s">
        <v>48</v>
      </c>
      <c r="W162" t="s">
        <v>49</v>
      </c>
      <c r="X162" t="s">
        <v>50</v>
      </c>
      <c r="Z162" t="s">
        <v>497</v>
      </c>
      <c r="AA162">
        <v>43.271479999999997</v>
      </c>
      <c r="AB162">
        <v>-79.808610000000002</v>
      </c>
      <c r="AC162" t="s">
        <v>492</v>
      </c>
      <c r="AD162" t="s">
        <v>520</v>
      </c>
      <c r="AE162" t="s">
        <v>55</v>
      </c>
      <c r="AF162" t="s">
        <v>56</v>
      </c>
      <c r="AG162">
        <v>34</v>
      </c>
      <c r="AH162">
        <v>0.15160000000000001</v>
      </c>
      <c r="AI162">
        <v>-0.60650000000000004</v>
      </c>
      <c r="AJ162">
        <v>22970</v>
      </c>
      <c r="AK162">
        <v>130</v>
      </c>
      <c r="AL162">
        <v>270</v>
      </c>
      <c r="AM162">
        <v>1388</v>
      </c>
      <c r="AN162" t="s">
        <v>521</v>
      </c>
      <c r="AP162" s="3">
        <v>44232.916666666664</v>
      </c>
    </row>
    <row r="163" spans="1:42" hidden="1" x14ac:dyDescent="0.25">
      <c r="A163" t="s">
        <v>59</v>
      </c>
      <c r="D163" t="s">
        <v>43</v>
      </c>
      <c r="E163" t="s">
        <v>522</v>
      </c>
      <c r="F163" s="1">
        <v>42844.916666666664</v>
      </c>
      <c r="G163" t="s">
        <v>44</v>
      </c>
      <c r="H163" t="s">
        <v>45</v>
      </c>
      <c r="I163" t="s">
        <v>46</v>
      </c>
      <c r="J163">
        <v>16058</v>
      </c>
      <c r="K163" t="s">
        <v>490</v>
      </c>
      <c r="L163">
        <v>1265875</v>
      </c>
      <c r="M163">
        <v>260</v>
      </c>
      <c r="P163">
        <v>528</v>
      </c>
      <c r="Q163">
        <v>556</v>
      </c>
      <c r="R163">
        <v>1840</v>
      </c>
      <c r="S163" t="s">
        <v>202</v>
      </c>
      <c r="V163" t="s">
        <v>48</v>
      </c>
      <c r="W163" t="s">
        <v>49</v>
      </c>
      <c r="X163" t="s">
        <v>50</v>
      </c>
      <c r="Z163" t="s">
        <v>497</v>
      </c>
      <c r="AA163">
        <v>43.271479999999997</v>
      </c>
      <c r="AB163">
        <v>-79.808610000000002</v>
      </c>
      <c r="AC163" t="s">
        <v>492</v>
      </c>
      <c r="AD163" t="s">
        <v>523</v>
      </c>
      <c r="AE163" t="s">
        <v>55</v>
      </c>
      <c r="AF163" t="s">
        <v>56</v>
      </c>
      <c r="AG163">
        <v>34</v>
      </c>
      <c r="AH163">
        <v>0.15160000000000001</v>
      </c>
      <c r="AI163">
        <v>-0.60650000000000004</v>
      </c>
      <c r="AJ163">
        <v>22970</v>
      </c>
      <c r="AK163">
        <v>130</v>
      </c>
      <c r="AL163">
        <v>270</v>
      </c>
      <c r="AM163">
        <v>1388</v>
      </c>
      <c r="AP163" s="3">
        <v>44232.916666666664</v>
      </c>
    </row>
    <row r="164" spans="1:42" hidden="1" x14ac:dyDescent="0.25">
      <c r="A164" t="s">
        <v>59</v>
      </c>
      <c r="D164" t="s">
        <v>43</v>
      </c>
      <c r="E164" t="s">
        <v>524</v>
      </c>
      <c r="F164" s="1">
        <v>42844.916666666664</v>
      </c>
      <c r="G164" t="s">
        <v>44</v>
      </c>
      <c r="H164" t="s">
        <v>45</v>
      </c>
      <c r="I164" t="s">
        <v>46</v>
      </c>
      <c r="J164">
        <v>16059</v>
      </c>
      <c r="K164" t="s">
        <v>490</v>
      </c>
      <c r="L164">
        <v>1265876</v>
      </c>
      <c r="M164">
        <v>261</v>
      </c>
      <c r="P164">
        <v>538</v>
      </c>
      <c r="Q164">
        <v>564</v>
      </c>
      <c r="R164">
        <v>2070</v>
      </c>
      <c r="S164" t="s">
        <v>202</v>
      </c>
      <c r="V164" t="s">
        <v>48</v>
      </c>
      <c r="W164" t="s">
        <v>49</v>
      </c>
      <c r="X164" t="s">
        <v>50</v>
      </c>
      <c r="Z164" t="s">
        <v>497</v>
      </c>
      <c r="AA164">
        <v>43.271479999999997</v>
      </c>
      <c r="AB164">
        <v>-79.808610000000002</v>
      </c>
      <c r="AC164" t="s">
        <v>492</v>
      </c>
      <c r="AD164" t="s">
        <v>525</v>
      </c>
      <c r="AE164" t="s">
        <v>55</v>
      </c>
      <c r="AF164" t="s">
        <v>56</v>
      </c>
      <c r="AG164">
        <v>34</v>
      </c>
      <c r="AH164">
        <v>0.15160000000000001</v>
      </c>
      <c r="AI164">
        <v>-0.60650000000000004</v>
      </c>
      <c r="AJ164">
        <v>22970</v>
      </c>
      <c r="AK164">
        <v>130</v>
      </c>
      <c r="AL164">
        <v>270</v>
      </c>
      <c r="AM164">
        <v>1388</v>
      </c>
      <c r="AP164" s="3">
        <v>44232.916666666664</v>
      </c>
    </row>
    <row r="165" spans="1:42" hidden="1" x14ac:dyDescent="0.25">
      <c r="A165" t="s">
        <v>59</v>
      </c>
      <c r="D165" t="s">
        <v>43</v>
      </c>
      <c r="E165" t="s">
        <v>526</v>
      </c>
      <c r="F165" s="1">
        <v>42844.916666666664</v>
      </c>
      <c r="G165" t="s">
        <v>44</v>
      </c>
      <c r="H165" t="s">
        <v>45</v>
      </c>
      <c r="I165" t="s">
        <v>46</v>
      </c>
      <c r="J165">
        <v>16060</v>
      </c>
      <c r="K165" t="s">
        <v>490</v>
      </c>
      <c r="L165">
        <v>1265877</v>
      </c>
      <c r="M165">
        <v>289</v>
      </c>
      <c r="P165">
        <v>576</v>
      </c>
      <c r="Q165">
        <v>602</v>
      </c>
      <c r="R165">
        <v>2240</v>
      </c>
      <c r="S165" t="s">
        <v>202</v>
      </c>
      <c r="V165" t="s">
        <v>48</v>
      </c>
      <c r="W165" t="s">
        <v>49</v>
      </c>
      <c r="X165" t="s">
        <v>50</v>
      </c>
      <c r="Z165" t="s">
        <v>497</v>
      </c>
      <c r="AA165">
        <v>43.271479999999997</v>
      </c>
      <c r="AB165">
        <v>-79.808610000000002</v>
      </c>
      <c r="AC165" t="s">
        <v>492</v>
      </c>
      <c r="AD165" t="s">
        <v>527</v>
      </c>
      <c r="AE165" t="s">
        <v>55</v>
      </c>
      <c r="AF165" t="s">
        <v>56</v>
      </c>
      <c r="AG165">
        <v>34</v>
      </c>
      <c r="AH165">
        <v>0.15160000000000001</v>
      </c>
      <c r="AI165">
        <v>-0.60650000000000004</v>
      </c>
      <c r="AJ165">
        <v>22970</v>
      </c>
      <c r="AK165">
        <v>130</v>
      </c>
      <c r="AL165">
        <v>270</v>
      </c>
      <c r="AM165">
        <v>1388</v>
      </c>
      <c r="AN165" t="s">
        <v>515</v>
      </c>
      <c r="AP165" s="3">
        <v>44232.916666666664</v>
      </c>
    </row>
    <row r="166" spans="1:42" ht="14.45" hidden="1" customHeight="1" x14ac:dyDescent="0.25">
      <c r="A166" t="s">
        <v>59</v>
      </c>
      <c r="D166" t="s">
        <v>127</v>
      </c>
      <c r="E166" t="s">
        <v>528</v>
      </c>
      <c r="F166" s="1">
        <v>42900.916666666664</v>
      </c>
      <c r="G166" t="s">
        <v>44</v>
      </c>
      <c r="H166" t="s">
        <v>129</v>
      </c>
      <c r="I166" t="s">
        <v>130</v>
      </c>
      <c r="J166">
        <v>15854</v>
      </c>
      <c r="K166" t="s">
        <v>490</v>
      </c>
      <c r="L166">
        <v>1271919</v>
      </c>
      <c r="M166">
        <v>264</v>
      </c>
      <c r="P166">
        <v>410</v>
      </c>
      <c r="Q166">
        <v>421</v>
      </c>
      <c r="R166">
        <v>1240</v>
      </c>
      <c r="V166" t="s">
        <v>48</v>
      </c>
      <c r="W166" t="s">
        <v>49</v>
      </c>
      <c r="X166" t="s">
        <v>50</v>
      </c>
      <c r="Z166" t="s">
        <v>529</v>
      </c>
      <c r="AA166">
        <v>43.306441</v>
      </c>
      <c r="AB166">
        <v>-79.831671</v>
      </c>
      <c r="AC166" t="s">
        <v>530</v>
      </c>
      <c r="AD166" t="s">
        <v>531</v>
      </c>
      <c r="AE166" t="s">
        <v>55</v>
      </c>
      <c r="AF166" t="s">
        <v>56</v>
      </c>
      <c r="AG166">
        <v>34</v>
      </c>
      <c r="AH166">
        <v>0.15160000000000001</v>
      </c>
      <c r="AI166">
        <v>-0.60650000000000004</v>
      </c>
      <c r="AJ166">
        <v>23480</v>
      </c>
      <c r="AK166">
        <v>130</v>
      </c>
      <c r="AL166">
        <v>270</v>
      </c>
      <c r="AM166">
        <v>1387</v>
      </c>
      <c r="AN166" t="s">
        <v>532</v>
      </c>
      <c r="AP166" s="3">
        <v>44287.916666666664</v>
      </c>
    </row>
    <row r="167" spans="1:42" ht="14.45" hidden="1" customHeight="1" x14ac:dyDescent="0.25">
      <c r="A167" t="s">
        <v>59</v>
      </c>
      <c r="D167" t="s">
        <v>218</v>
      </c>
      <c r="E167" t="s">
        <v>533</v>
      </c>
      <c r="F167" s="1">
        <v>42900.916666666664</v>
      </c>
      <c r="G167" t="s">
        <v>44</v>
      </c>
      <c r="H167" t="s">
        <v>220</v>
      </c>
      <c r="I167" t="s">
        <v>221</v>
      </c>
      <c r="J167">
        <v>15856</v>
      </c>
      <c r="K167" t="s">
        <v>490</v>
      </c>
      <c r="L167">
        <v>1271921</v>
      </c>
      <c r="M167">
        <v>266</v>
      </c>
      <c r="Q167">
        <v>620</v>
      </c>
      <c r="R167">
        <v>4450</v>
      </c>
      <c r="V167" t="s">
        <v>48</v>
      </c>
      <c r="W167" t="s">
        <v>49</v>
      </c>
      <c r="X167" t="s">
        <v>50</v>
      </c>
      <c r="Z167" t="s">
        <v>534</v>
      </c>
      <c r="AC167" t="s">
        <v>530</v>
      </c>
      <c r="AD167" t="s">
        <v>535</v>
      </c>
      <c r="AE167" t="s">
        <v>55</v>
      </c>
      <c r="AF167" t="s">
        <v>56</v>
      </c>
      <c r="AG167">
        <v>34</v>
      </c>
      <c r="AH167">
        <v>0.15160000000000001</v>
      </c>
      <c r="AI167">
        <v>-0.60650000000000004</v>
      </c>
      <c r="AJ167">
        <v>23480</v>
      </c>
      <c r="AK167">
        <v>130</v>
      </c>
      <c r="AL167">
        <v>270</v>
      </c>
      <c r="AM167">
        <v>1387</v>
      </c>
      <c r="AP167" s="3">
        <v>44287.916666666664</v>
      </c>
    </row>
    <row r="168" spans="1:42" ht="14.45" hidden="1" customHeight="1" x14ac:dyDescent="0.25">
      <c r="A168" t="s">
        <v>59</v>
      </c>
      <c r="D168" t="s">
        <v>218</v>
      </c>
      <c r="E168" t="s">
        <v>536</v>
      </c>
      <c r="F168" s="1">
        <v>42900.916666666664</v>
      </c>
      <c r="G168" t="s">
        <v>44</v>
      </c>
      <c r="H168" t="s">
        <v>220</v>
      </c>
      <c r="I168" t="s">
        <v>221</v>
      </c>
      <c r="J168">
        <v>15857</v>
      </c>
      <c r="K168" t="s">
        <v>490</v>
      </c>
      <c r="L168">
        <v>1271922</v>
      </c>
      <c r="M168">
        <v>267</v>
      </c>
      <c r="Q168">
        <v>593</v>
      </c>
      <c r="R168">
        <v>2730</v>
      </c>
      <c r="V168" t="s">
        <v>48</v>
      </c>
      <c r="W168" t="s">
        <v>49</v>
      </c>
      <c r="X168" t="s">
        <v>50</v>
      </c>
      <c r="Z168" t="s">
        <v>534</v>
      </c>
      <c r="AC168" t="s">
        <v>530</v>
      </c>
      <c r="AD168" t="s">
        <v>537</v>
      </c>
      <c r="AE168" t="s">
        <v>55</v>
      </c>
      <c r="AF168" t="s">
        <v>56</v>
      </c>
      <c r="AG168">
        <v>34</v>
      </c>
      <c r="AH168">
        <v>0.15160000000000001</v>
      </c>
      <c r="AI168">
        <v>-0.60650000000000004</v>
      </c>
      <c r="AJ168">
        <v>23480</v>
      </c>
      <c r="AK168">
        <v>130</v>
      </c>
      <c r="AL168">
        <v>270</v>
      </c>
      <c r="AM168">
        <v>1387</v>
      </c>
      <c r="AP168" s="3">
        <v>44287.916666666664</v>
      </c>
    </row>
    <row r="169" spans="1:42" ht="14.45" hidden="1" customHeight="1" x14ac:dyDescent="0.25">
      <c r="A169" t="s">
        <v>42</v>
      </c>
      <c r="D169" t="s">
        <v>223</v>
      </c>
      <c r="F169" s="1">
        <v>42900.916666666664</v>
      </c>
      <c r="G169" t="s">
        <v>44</v>
      </c>
      <c r="H169" t="s">
        <v>225</v>
      </c>
      <c r="I169" t="s">
        <v>226</v>
      </c>
      <c r="M169" t="s">
        <v>47</v>
      </c>
      <c r="V169" t="s">
        <v>48</v>
      </c>
      <c r="W169" t="s">
        <v>49</v>
      </c>
      <c r="X169" t="s">
        <v>50</v>
      </c>
      <c r="Z169" t="s">
        <v>538</v>
      </c>
      <c r="AN169" t="s">
        <v>539</v>
      </c>
    </row>
    <row r="170" spans="1:42" ht="14.45" hidden="1" customHeight="1" x14ac:dyDescent="0.25">
      <c r="A170" t="s">
        <v>59</v>
      </c>
      <c r="D170" t="s">
        <v>127</v>
      </c>
      <c r="E170" t="s">
        <v>540</v>
      </c>
      <c r="F170" s="1">
        <v>42912.916666666664</v>
      </c>
      <c r="G170" t="s">
        <v>44</v>
      </c>
      <c r="H170" t="s">
        <v>129</v>
      </c>
      <c r="I170" t="s">
        <v>130</v>
      </c>
      <c r="J170">
        <v>15855</v>
      </c>
      <c r="K170" t="s">
        <v>490</v>
      </c>
      <c r="L170">
        <v>1271920</v>
      </c>
      <c r="M170">
        <v>157</v>
      </c>
      <c r="N170">
        <v>99180</v>
      </c>
      <c r="P170">
        <v>405</v>
      </c>
      <c r="Q170">
        <v>413</v>
      </c>
      <c r="R170">
        <v>1220</v>
      </c>
      <c r="V170" t="s">
        <v>48</v>
      </c>
      <c r="W170" t="s">
        <v>49</v>
      </c>
      <c r="X170" t="s">
        <v>50</v>
      </c>
      <c r="Z170" t="s">
        <v>541</v>
      </c>
      <c r="AC170" t="s">
        <v>530</v>
      </c>
      <c r="AD170" t="s">
        <v>542</v>
      </c>
      <c r="AE170" t="s">
        <v>55</v>
      </c>
      <c r="AF170" t="s">
        <v>56</v>
      </c>
      <c r="AG170">
        <v>34</v>
      </c>
      <c r="AH170">
        <v>0.15160000000000001</v>
      </c>
      <c r="AI170">
        <v>-0.60650000000000004</v>
      </c>
      <c r="AJ170">
        <v>23480</v>
      </c>
      <c r="AK170">
        <v>130</v>
      </c>
      <c r="AL170">
        <v>270</v>
      </c>
      <c r="AM170">
        <v>1387</v>
      </c>
      <c r="AP170" s="3">
        <v>44299.916666666664</v>
      </c>
    </row>
    <row r="171" spans="1:42" ht="14.45" hidden="1" customHeight="1" x14ac:dyDescent="0.25">
      <c r="A171" t="s">
        <v>59</v>
      </c>
      <c r="D171" t="s">
        <v>127</v>
      </c>
      <c r="E171" t="s">
        <v>543</v>
      </c>
      <c r="F171" s="1">
        <v>42912.916666666664</v>
      </c>
      <c r="G171" t="s">
        <v>44</v>
      </c>
      <c r="H171" t="s">
        <v>129</v>
      </c>
      <c r="I171" t="s">
        <v>130</v>
      </c>
      <c r="J171">
        <v>15874</v>
      </c>
      <c r="K171" t="s">
        <v>490</v>
      </c>
      <c r="L171">
        <v>1271939</v>
      </c>
      <c r="M171">
        <v>158</v>
      </c>
      <c r="N171">
        <v>99189</v>
      </c>
      <c r="P171">
        <v>462</v>
      </c>
      <c r="Q171">
        <v>481</v>
      </c>
      <c r="R171">
        <v>2240</v>
      </c>
      <c r="V171" t="s">
        <v>48</v>
      </c>
      <c r="W171" t="s">
        <v>49</v>
      </c>
      <c r="X171" t="s">
        <v>50</v>
      </c>
      <c r="Z171" t="s">
        <v>541</v>
      </c>
      <c r="AC171" t="s">
        <v>530</v>
      </c>
      <c r="AD171" t="s">
        <v>544</v>
      </c>
      <c r="AE171" t="s">
        <v>55</v>
      </c>
      <c r="AF171" t="s">
        <v>56</v>
      </c>
      <c r="AG171">
        <v>34</v>
      </c>
      <c r="AH171">
        <v>0.15160000000000001</v>
      </c>
      <c r="AI171">
        <v>-0.60650000000000004</v>
      </c>
      <c r="AJ171">
        <v>23480</v>
      </c>
      <c r="AK171">
        <v>130</v>
      </c>
      <c r="AL171">
        <v>270</v>
      </c>
      <c r="AM171">
        <v>1387</v>
      </c>
      <c r="AP171" s="3">
        <v>44299.916666666664</v>
      </c>
    </row>
    <row r="172" spans="1:42" ht="14.45" hidden="1" customHeight="1" x14ac:dyDescent="0.25">
      <c r="A172" t="s">
        <v>59</v>
      </c>
      <c r="D172" t="s">
        <v>127</v>
      </c>
      <c r="E172" t="s">
        <v>545</v>
      </c>
      <c r="F172" s="1">
        <v>42912.916666666664</v>
      </c>
      <c r="G172" t="s">
        <v>44</v>
      </c>
      <c r="H172" t="s">
        <v>129</v>
      </c>
      <c r="I172" t="s">
        <v>130</v>
      </c>
      <c r="J172">
        <v>15875</v>
      </c>
      <c r="K172" t="s">
        <v>490</v>
      </c>
      <c r="L172">
        <v>1271940</v>
      </c>
      <c r="M172">
        <v>159</v>
      </c>
      <c r="N172">
        <v>99145</v>
      </c>
      <c r="P172">
        <v>422</v>
      </c>
      <c r="Q172">
        <v>454</v>
      </c>
      <c r="R172">
        <v>1780</v>
      </c>
      <c r="V172" t="s">
        <v>48</v>
      </c>
      <c r="W172" t="s">
        <v>49</v>
      </c>
      <c r="X172" t="s">
        <v>50</v>
      </c>
      <c r="Z172" t="s">
        <v>541</v>
      </c>
      <c r="AC172" t="s">
        <v>530</v>
      </c>
      <c r="AD172" t="s">
        <v>546</v>
      </c>
      <c r="AE172" t="s">
        <v>55</v>
      </c>
      <c r="AF172" t="s">
        <v>56</v>
      </c>
      <c r="AG172">
        <v>34</v>
      </c>
      <c r="AH172">
        <v>0.15160000000000001</v>
      </c>
      <c r="AI172">
        <v>-0.60650000000000004</v>
      </c>
      <c r="AJ172">
        <v>23480</v>
      </c>
      <c r="AK172">
        <v>130</v>
      </c>
      <c r="AL172">
        <v>270</v>
      </c>
      <c r="AM172">
        <v>1387</v>
      </c>
      <c r="AP172" s="3">
        <v>44299.916666666664</v>
      </c>
    </row>
    <row r="173" spans="1:42" ht="14.45" hidden="1" customHeight="1" x14ac:dyDescent="0.25">
      <c r="A173" t="s">
        <v>59</v>
      </c>
      <c r="D173" t="s">
        <v>218</v>
      </c>
      <c r="E173" t="s">
        <v>547</v>
      </c>
      <c r="F173" s="1">
        <v>42912.916666666664</v>
      </c>
      <c r="G173" t="s">
        <v>44</v>
      </c>
      <c r="H173" t="s">
        <v>220</v>
      </c>
      <c r="I173" t="s">
        <v>221</v>
      </c>
      <c r="J173">
        <v>15872</v>
      </c>
      <c r="K173" t="s">
        <v>490</v>
      </c>
      <c r="L173">
        <v>1271937</v>
      </c>
      <c r="M173">
        <v>163</v>
      </c>
      <c r="Q173">
        <v>537</v>
      </c>
      <c r="R173">
        <v>2020</v>
      </c>
      <c r="S173" t="s">
        <v>202</v>
      </c>
      <c r="V173" t="s">
        <v>48</v>
      </c>
      <c r="W173" t="s">
        <v>49</v>
      </c>
      <c r="X173" t="s">
        <v>50</v>
      </c>
      <c r="Z173" t="s">
        <v>548</v>
      </c>
      <c r="AC173" t="s">
        <v>530</v>
      </c>
      <c r="AD173" t="s">
        <v>549</v>
      </c>
      <c r="AE173" t="s">
        <v>55</v>
      </c>
      <c r="AF173" t="s">
        <v>56</v>
      </c>
      <c r="AG173">
        <v>34</v>
      </c>
      <c r="AH173">
        <v>0.15160000000000001</v>
      </c>
      <c r="AI173">
        <v>-0.60650000000000004</v>
      </c>
      <c r="AJ173">
        <v>23480</v>
      </c>
      <c r="AK173">
        <v>130</v>
      </c>
      <c r="AL173">
        <v>270</v>
      </c>
      <c r="AM173">
        <v>1387</v>
      </c>
      <c r="AN173" t="s">
        <v>550</v>
      </c>
      <c r="AP173" s="3">
        <v>44299.916666666664</v>
      </c>
    </row>
    <row r="174" spans="1:42" ht="14.45" hidden="1" customHeight="1" x14ac:dyDescent="0.25">
      <c r="A174" t="s">
        <v>59</v>
      </c>
      <c r="D174" t="s">
        <v>551</v>
      </c>
      <c r="E174" t="s">
        <v>552</v>
      </c>
      <c r="F174" s="1">
        <v>42912.916666666664</v>
      </c>
      <c r="G174" t="s">
        <v>44</v>
      </c>
      <c r="H174" t="s">
        <v>553</v>
      </c>
      <c r="I174" t="s">
        <v>554</v>
      </c>
      <c r="J174">
        <v>15876</v>
      </c>
      <c r="K174" t="s">
        <v>490</v>
      </c>
      <c r="L174">
        <v>1271941</v>
      </c>
      <c r="M174">
        <v>160</v>
      </c>
      <c r="P174">
        <v>300</v>
      </c>
      <c r="Q174">
        <v>335</v>
      </c>
      <c r="R174">
        <v>900</v>
      </c>
      <c r="S174" t="s">
        <v>206</v>
      </c>
      <c r="V174" t="s">
        <v>48</v>
      </c>
      <c r="W174" t="s">
        <v>49</v>
      </c>
      <c r="X174" t="s">
        <v>50</v>
      </c>
      <c r="Z174" t="s">
        <v>541</v>
      </c>
      <c r="AC174" t="s">
        <v>530</v>
      </c>
      <c r="AD174" t="s">
        <v>555</v>
      </c>
      <c r="AE174" t="s">
        <v>55</v>
      </c>
      <c r="AF174" t="s">
        <v>56</v>
      </c>
      <c r="AG174">
        <v>34</v>
      </c>
      <c r="AH174">
        <v>0.15160000000000001</v>
      </c>
      <c r="AI174">
        <v>-0.60650000000000004</v>
      </c>
      <c r="AJ174">
        <v>23480</v>
      </c>
      <c r="AK174">
        <v>130</v>
      </c>
      <c r="AL174">
        <v>270</v>
      </c>
      <c r="AM174">
        <v>1387</v>
      </c>
      <c r="AN174" t="s">
        <v>556</v>
      </c>
      <c r="AP174" s="3">
        <v>44299.916666666664</v>
      </c>
    </row>
    <row r="175" spans="1:42" ht="14.45" hidden="1" customHeight="1" x14ac:dyDescent="0.25">
      <c r="A175" t="s">
        <v>59</v>
      </c>
      <c r="D175" t="s">
        <v>122</v>
      </c>
      <c r="E175" t="s">
        <v>557</v>
      </c>
      <c r="F175" s="1">
        <v>42912.916666666664</v>
      </c>
      <c r="G175" t="s">
        <v>44</v>
      </c>
      <c r="H175" t="s">
        <v>124</v>
      </c>
      <c r="I175" t="s">
        <v>125</v>
      </c>
      <c r="J175">
        <v>15877</v>
      </c>
      <c r="K175" t="s">
        <v>490</v>
      </c>
      <c r="L175">
        <v>1271942</v>
      </c>
      <c r="M175">
        <v>161</v>
      </c>
      <c r="N175">
        <v>99078</v>
      </c>
      <c r="P175">
        <v>878</v>
      </c>
      <c r="Q175">
        <v>925</v>
      </c>
      <c r="R175">
        <v>4850</v>
      </c>
      <c r="S175" t="s">
        <v>206</v>
      </c>
      <c r="V175" t="s">
        <v>48</v>
      </c>
      <c r="W175" t="s">
        <v>49</v>
      </c>
      <c r="X175" t="s">
        <v>50</v>
      </c>
      <c r="Z175" t="s">
        <v>558</v>
      </c>
      <c r="AC175" t="s">
        <v>530</v>
      </c>
      <c r="AD175" t="s">
        <v>559</v>
      </c>
      <c r="AE175" t="s">
        <v>55</v>
      </c>
      <c r="AF175" t="s">
        <v>56</v>
      </c>
      <c r="AG175">
        <v>34</v>
      </c>
      <c r="AH175">
        <v>0.15160000000000001</v>
      </c>
      <c r="AI175">
        <v>-0.60650000000000004</v>
      </c>
      <c r="AJ175">
        <v>23480</v>
      </c>
      <c r="AK175">
        <v>130</v>
      </c>
      <c r="AL175">
        <v>270</v>
      </c>
      <c r="AM175">
        <v>1387</v>
      </c>
      <c r="AN175" t="s">
        <v>560</v>
      </c>
      <c r="AP175" s="3">
        <v>44299.916666666664</v>
      </c>
    </row>
    <row r="176" spans="1:42" ht="14.45" hidden="1" customHeight="1" x14ac:dyDescent="0.25">
      <c r="A176" t="s">
        <v>59</v>
      </c>
      <c r="D176" t="s">
        <v>127</v>
      </c>
      <c r="E176" t="s">
        <v>561</v>
      </c>
      <c r="F176" s="1">
        <v>42913.916666666664</v>
      </c>
      <c r="G176" t="s">
        <v>44</v>
      </c>
      <c r="H176" t="s">
        <v>129</v>
      </c>
      <c r="I176" t="s">
        <v>130</v>
      </c>
      <c r="J176">
        <v>15870</v>
      </c>
      <c r="K176" t="s">
        <v>490</v>
      </c>
      <c r="L176">
        <v>1271935</v>
      </c>
      <c r="M176">
        <v>166</v>
      </c>
      <c r="N176">
        <v>99124</v>
      </c>
      <c r="P176">
        <v>377</v>
      </c>
      <c r="Q176">
        <v>396</v>
      </c>
      <c r="R176">
        <v>1040</v>
      </c>
      <c r="V176" t="s">
        <v>48</v>
      </c>
      <c r="W176" t="s">
        <v>49</v>
      </c>
      <c r="X176" t="s">
        <v>50</v>
      </c>
      <c r="Z176" t="s">
        <v>562</v>
      </c>
      <c r="AC176" t="s">
        <v>530</v>
      </c>
      <c r="AD176" t="s">
        <v>563</v>
      </c>
      <c r="AE176" t="s">
        <v>55</v>
      </c>
      <c r="AF176" t="s">
        <v>56</v>
      </c>
      <c r="AG176">
        <v>34</v>
      </c>
      <c r="AH176">
        <v>0.15160000000000001</v>
      </c>
      <c r="AI176">
        <v>-0.60650000000000004</v>
      </c>
      <c r="AJ176">
        <v>23480</v>
      </c>
      <c r="AK176">
        <v>130</v>
      </c>
      <c r="AL176">
        <v>270</v>
      </c>
      <c r="AM176">
        <v>1387</v>
      </c>
      <c r="AN176" t="s">
        <v>564</v>
      </c>
      <c r="AP176" s="3">
        <v>44300.916666666664</v>
      </c>
    </row>
    <row r="177" spans="1:42" ht="14.45" hidden="1" customHeight="1" x14ac:dyDescent="0.25">
      <c r="A177" t="s">
        <v>59</v>
      </c>
      <c r="D177" t="s">
        <v>218</v>
      </c>
      <c r="E177" t="s">
        <v>565</v>
      </c>
      <c r="F177" s="1">
        <v>42913.916666666664</v>
      </c>
      <c r="G177" t="s">
        <v>44</v>
      </c>
      <c r="H177" t="s">
        <v>220</v>
      </c>
      <c r="I177" t="s">
        <v>221</v>
      </c>
      <c r="J177">
        <v>15867</v>
      </c>
      <c r="K177" t="s">
        <v>490</v>
      </c>
      <c r="L177">
        <v>1271932</v>
      </c>
      <c r="M177">
        <v>172</v>
      </c>
      <c r="Q177">
        <v>451</v>
      </c>
      <c r="R177">
        <v>1430</v>
      </c>
      <c r="V177" t="s">
        <v>48</v>
      </c>
      <c r="W177" t="s">
        <v>49</v>
      </c>
      <c r="X177" t="s">
        <v>50</v>
      </c>
      <c r="Z177" t="s">
        <v>399</v>
      </c>
      <c r="AC177" t="s">
        <v>530</v>
      </c>
      <c r="AD177" t="s">
        <v>566</v>
      </c>
      <c r="AE177" t="s">
        <v>55</v>
      </c>
      <c r="AF177" t="s">
        <v>56</v>
      </c>
      <c r="AG177">
        <v>34</v>
      </c>
      <c r="AH177">
        <v>0.15160000000000001</v>
      </c>
      <c r="AI177">
        <v>-0.60650000000000004</v>
      </c>
      <c r="AJ177">
        <v>23480</v>
      </c>
      <c r="AK177">
        <v>130</v>
      </c>
      <c r="AL177">
        <v>270</v>
      </c>
      <c r="AM177">
        <v>1387</v>
      </c>
      <c r="AP177" s="3">
        <v>44300.916666666664</v>
      </c>
    </row>
    <row r="178" spans="1:42" ht="14.45" hidden="1" customHeight="1" x14ac:dyDescent="0.25">
      <c r="A178" t="s">
        <v>59</v>
      </c>
      <c r="D178" t="s">
        <v>218</v>
      </c>
      <c r="E178" t="s">
        <v>567</v>
      </c>
      <c r="F178" s="1">
        <v>42913.916666666664</v>
      </c>
      <c r="G178" t="s">
        <v>44</v>
      </c>
      <c r="H178" t="s">
        <v>220</v>
      </c>
      <c r="I178" t="s">
        <v>221</v>
      </c>
      <c r="J178">
        <v>15871</v>
      </c>
      <c r="K178" t="s">
        <v>490</v>
      </c>
      <c r="L178">
        <v>1271936</v>
      </c>
      <c r="M178">
        <v>165</v>
      </c>
      <c r="Q178">
        <v>512</v>
      </c>
      <c r="R178">
        <v>2210</v>
      </c>
      <c r="S178" t="s">
        <v>202</v>
      </c>
      <c r="V178" t="s">
        <v>48</v>
      </c>
      <c r="W178" t="s">
        <v>49</v>
      </c>
      <c r="X178" t="s">
        <v>50</v>
      </c>
      <c r="Z178" t="s">
        <v>568</v>
      </c>
      <c r="AC178" t="s">
        <v>530</v>
      </c>
      <c r="AD178" t="s">
        <v>569</v>
      </c>
      <c r="AE178" t="s">
        <v>55</v>
      </c>
      <c r="AF178" t="s">
        <v>56</v>
      </c>
      <c r="AG178">
        <v>34</v>
      </c>
      <c r="AH178">
        <v>0.15160000000000001</v>
      </c>
      <c r="AI178">
        <v>-0.60650000000000004</v>
      </c>
      <c r="AJ178">
        <v>23480</v>
      </c>
      <c r="AK178">
        <v>130</v>
      </c>
      <c r="AL178">
        <v>270</v>
      </c>
      <c r="AM178">
        <v>1387</v>
      </c>
      <c r="AP178" s="3">
        <v>44300.916666666664</v>
      </c>
    </row>
    <row r="179" spans="1:42" ht="14.45" hidden="1" customHeight="1" x14ac:dyDescent="0.25">
      <c r="A179" t="s">
        <v>59</v>
      </c>
      <c r="D179" t="s">
        <v>551</v>
      </c>
      <c r="E179" t="s">
        <v>570</v>
      </c>
      <c r="F179" s="1">
        <v>42913.916666666664</v>
      </c>
      <c r="G179" t="s">
        <v>44</v>
      </c>
      <c r="H179" t="s">
        <v>553</v>
      </c>
      <c r="I179" t="s">
        <v>554</v>
      </c>
      <c r="J179">
        <v>15859</v>
      </c>
      <c r="K179" t="s">
        <v>490</v>
      </c>
      <c r="L179">
        <v>1271924</v>
      </c>
      <c r="M179">
        <v>171</v>
      </c>
      <c r="P179">
        <v>310</v>
      </c>
      <c r="Q179">
        <v>344</v>
      </c>
      <c r="R179">
        <v>860</v>
      </c>
      <c r="V179" t="s">
        <v>48</v>
      </c>
      <c r="W179" t="s">
        <v>49</v>
      </c>
      <c r="X179" t="s">
        <v>50</v>
      </c>
      <c r="Z179" t="s">
        <v>399</v>
      </c>
      <c r="AC179" t="s">
        <v>530</v>
      </c>
      <c r="AD179" t="s">
        <v>571</v>
      </c>
      <c r="AE179" t="s">
        <v>55</v>
      </c>
      <c r="AF179" t="s">
        <v>56</v>
      </c>
      <c r="AG179">
        <v>34</v>
      </c>
      <c r="AH179">
        <v>0.15160000000000001</v>
      </c>
      <c r="AI179">
        <v>-0.60650000000000004</v>
      </c>
      <c r="AJ179">
        <v>23480</v>
      </c>
      <c r="AK179">
        <v>130</v>
      </c>
      <c r="AL179">
        <v>270</v>
      </c>
      <c r="AM179">
        <v>1387</v>
      </c>
      <c r="AP179" s="3">
        <v>44300.916666666664</v>
      </c>
    </row>
    <row r="180" spans="1:42" ht="14.45" hidden="1" customHeight="1" x14ac:dyDescent="0.25">
      <c r="A180" t="s">
        <v>59</v>
      </c>
      <c r="D180" t="s">
        <v>551</v>
      </c>
      <c r="E180" t="s">
        <v>572</v>
      </c>
      <c r="F180" s="1">
        <v>42913.916666666664</v>
      </c>
      <c r="G180" t="s">
        <v>44</v>
      </c>
      <c r="H180" t="s">
        <v>553</v>
      </c>
      <c r="I180" t="s">
        <v>554</v>
      </c>
      <c r="J180">
        <v>15866</v>
      </c>
      <c r="K180" t="s">
        <v>490</v>
      </c>
      <c r="L180">
        <v>1271931</v>
      </c>
      <c r="M180">
        <v>170</v>
      </c>
      <c r="P180">
        <v>314</v>
      </c>
      <c r="Q180">
        <v>343</v>
      </c>
      <c r="R180">
        <v>1150</v>
      </c>
      <c r="S180" t="s">
        <v>206</v>
      </c>
      <c r="V180" t="s">
        <v>48</v>
      </c>
      <c r="W180" t="s">
        <v>49</v>
      </c>
      <c r="X180" t="s">
        <v>50</v>
      </c>
      <c r="Z180" t="s">
        <v>399</v>
      </c>
      <c r="AC180" t="s">
        <v>530</v>
      </c>
      <c r="AD180" t="s">
        <v>573</v>
      </c>
      <c r="AE180" t="s">
        <v>55</v>
      </c>
      <c r="AF180" t="s">
        <v>56</v>
      </c>
      <c r="AG180">
        <v>34</v>
      </c>
      <c r="AH180">
        <v>0.15160000000000001</v>
      </c>
      <c r="AI180">
        <v>-0.60650000000000004</v>
      </c>
      <c r="AJ180">
        <v>23480</v>
      </c>
      <c r="AK180">
        <v>130</v>
      </c>
      <c r="AL180">
        <v>270</v>
      </c>
      <c r="AM180">
        <v>1387</v>
      </c>
      <c r="AP180" s="3">
        <v>44300.916666666664</v>
      </c>
    </row>
    <row r="181" spans="1:42" ht="14.45" hidden="1" customHeight="1" x14ac:dyDescent="0.25">
      <c r="A181" t="s">
        <v>59</v>
      </c>
      <c r="D181" t="s">
        <v>551</v>
      </c>
      <c r="E181" t="s">
        <v>574</v>
      </c>
      <c r="F181" s="1">
        <v>42913.916666666664</v>
      </c>
      <c r="G181" t="s">
        <v>44</v>
      </c>
      <c r="H181" t="s">
        <v>553</v>
      </c>
      <c r="I181" t="s">
        <v>554</v>
      </c>
      <c r="J181">
        <v>15868</v>
      </c>
      <c r="K181" t="s">
        <v>490</v>
      </c>
      <c r="L181">
        <v>1271933</v>
      </c>
      <c r="M181">
        <v>173</v>
      </c>
      <c r="P181">
        <v>308</v>
      </c>
      <c r="Q181">
        <v>351</v>
      </c>
      <c r="R181">
        <v>1110</v>
      </c>
      <c r="V181" t="s">
        <v>48</v>
      </c>
      <c r="W181" t="s">
        <v>49</v>
      </c>
      <c r="X181" t="s">
        <v>50</v>
      </c>
      <c r="Z181" t="s">
        <v>399</v>
      </c>
      <c r="AC181" t="s">
        <v>530</v>
      </c>
      <c r="AD181" t="s">
        <v>575</v>
      </c>
      <c r="AE181" t="s">
        <v>55</v>
      </c>
      <c r="AF181" t="s">
        <v>56</v>
      </c>
      <c r="AG181">
        <v>34</v>
      </c>
      <c r="AH181">
        <v>0.15160000000000001</v>
      </c>
      <c r="AI181">
        <v>-0.60650000000000004</v>
      </c>
      <c r="AJ181">
        <v>23480</v>
      </c>
      <c r="AK181">
        <v>130</v>
      </c>
      <c r="AL181">
        <v>270</v>
      </c>
      <c r="AM181">
        <v>1387</v>
      </c>
      <c r="AP181" s="3">
        <v>44300.916666666664</v>
      </c>
    </row>
    <row r="182" spans="1:42" ht="14.45" hidden="1" customHeight="1" x14ac:dyDescent="0.25">
      <c r="A182" t="s">
        <v>59</v>
      </c>
      <c r="D182" t="s">
        <v>551</v>
      </c>
      <c r="E182" t="s">
        <v>576</v>
      </c>
      <c r="F182" s="1">
        <v>42913.916666666664</v>
      </c>
      <c r="G182" t="s">
        <v>44</v>
      </c>
      <c r="H182" t="s">
        <v>553</v>
      </c>
      <c r="I182" t="s">
        <v>554</v>
      </c>
      <c r="J182">
        <v>15873</v>
      </c>
      <c r="K182" t="s">
        <v>490</v>
      </c>
      <c r="L182">
        <v>1271938</v>
      </c>
      <c r="M182">
        <v>168</v>
      </c>
      <c r="P182">
        <v>313</v>
      </c>
      <c r="Q182">
        <v>337</v>
      </c>
      <c r="R182">
        <v>990</v>
      </c>
      <c r="V182" t="s">
        <v>48</v>
      </c>
      <c r="W182" t="s">
        <v>49</v>
      </c>
      <c r="X182" t="s">
        <v>50</v>
      </c>
      <c r="Z182" t="s">
        <v>562</v>
      </c>
      <c r="AC182" t="s">
        <v>530</v>
      </c>
      <c r="AD182" t="s">
        <v>577</v>
      </c>
      <c r="AE182" t="s">
        <v>55</v>
      </c>
      <c r="AF182" t="s">
        <v>56</v>
      </c>
      <c r="AG182">
        <v>34</v>
      </c>
      <c r="AH182">
        <v>0.15160000000000001</v>
      </c>
      <c r="AI182">
        <v>-0.60650000000000004</v>
      </c>
      <c r="AJ182">
        <v>23480</v>
      </c>
      <c r="AK182">
        <v>130</v>
      </c>
      <c r="AL182">
        <v>270</v>
      </c>
      <c r="AM182">
        <v>1387</v>
      </c>
      <c r="AP182" s="3">
        <v>44300.916666666664</v>
      </c>
    </row>
    <row r="183" spans="1:42" ht="14.45" hidden="1" customHeight="1" x14ac:dyDescent="0.25">
      <c r="A183" t="s">
        <v>59</v>
      </c>
      <c r="D183" t="s">
        <v>578</v>
      </c>
      <c r="E183" t="s">
        <v>579</v>
      </c>
      <c r="F183" s="1">
        <v>42914.020833333336</v>
      </c>
      <c r="G183" t="s">
        <v>44</v>
      </c>
      <c r="H183" t="s">
        <v>580</v>
      </c>
      <c r="I183" t="s">
        <v>581</v>
      </c>
      <c r="J183">
        <v>15858</v>
      </c>
      <c r="K183" t="s">
        <v>490</v>
      </c>
      <c r="L183">
        <v>1271923</v>
      </c>
      <c r="M183">
        <v>250</v>
      </c>
      <c r="N183">
        <v>98968</v>
      </c>
      <c r="P183">
        <v>395</v>
      </c>
      <c r="Q183">
        <v>421</v>
      </c>
      <c r="R183">
        <v>1140</v>
      </c>
      <c r="V183" t="s">
        <v>48</v>
      </c>
      <c r="W183" t="s">
        <v>49</v>
      </c>
      <c r="X183" t="s">
        <v>50</v>
      </c>
      <c r="Z183" t="s">
        <v>582</v>
      </c>
      <c r="AC183" t="s">
        <v>530</v>
      </c>
      <c r="AD183" t="s">
        <v>583</v>
      </c>
      <c r="AE183" t="s">
        <v>55</v>
      </c>
      <c r="AF183" t="s">
        <v>56</v>
      </c>
      <c r="AG183">
        <v>34</v>
      </c>
      <c r="AH183">
        <v>0.15160000000000001</v>
      </c>
      <c r="AI183">
        <v>-0.60650000000000004</v>
      </c>
      <c r="AJ183">
        <v>23480</v>
      </c>
      <c r="AK183">
        <v>130</v>
      </c>
      <c r="AL183">
        <v>270</v>
      </c>
      <c r="AM183">
        <v>1387</v>
      </c>
      <c r="AP183" s="3">
        <v>44301.020833333336</v>
      </c>
    </row>
    <row r="184" spans="1:42" ht="14.45" hidden="1" customHeight="1" x14ac:dyDescent="0.25">
      <c r="A184" t="s">
        <v>59</v>
      </c>
      <c r="D184" t="s">
        <v>578</v>
      </c>
      <c r="E184" t="s">
        <v>584</v>
      </c>
      <c r="F184" s="1">
        <v>42914.020833333336</v>
      </c>
      <c r="G184" t="s">
        <v>44</v>
      </c>
      <c r="H184" t="s">
        <v>580</v>
      </c>
      <c r="I184" t="s">
        <v>581</v>
      </c>
      <c r="J184">
        <v>15869</v>
      </c>
      <c r="K184" t="s">
        <v>490</v>
      </c>
      <c r="L184">
        <v>1271934</v>
      </c>
      <c r="M184">
        <v>175</v>
      </c>
      <c r="N184">
        <v>99001</v>
      </c>
      <c r="P184">
        <v>409</v>
      </c>
      <c r="Q184">
        <v>437</v>
      </c>
      <c r="R184">
        <v>1250</v>
      </c>
      <c r="V184" t="s">
        <v>48</v>
      </c>
      <c r="W184" t="s">
        <v>49</v>
      </c>
      <c r="X184" t="s">
        <v>50</v>
      </c>
      <c r="Z184" t="s">
        <v>582</v>
      </c>
      <c r="AC184" t="s">
        <v>530</v>
      </c>
      <c r="AD184" t="s">
        <v>585</v>
      </c>
      <c r="AE184" t="s">
        <v>55</v>
      </c>
      <c r="AF184" t="s">
        <v>56</v>
      </c>
      <c r="AG184">
        <v>34</v>
      </c>
      <c r="AH184">
        <v>0.15160000000000001</v>
      </c>
      <c r="AI184">
        <v>-0.60650000000000004</v>
      </c>
      <c r="AJ184">
        <v>23480</v>
      </c>
      <c r="AK184">
        <v>130</v>
      </c>
      <c r="AL184">
        <v>270</v>
      </c>
      <c r="AM184">
        <v>1387</v>
      </c>
      <c r="AP184" s="3">
        <v>44301.020833333336</v>
      </c>
    </row>
    <row r="185" spans="1:42" ht="14.45" hidden="1" customHeight="1" x14ac:dyDescent="0.25">
      <c r="A185" t="s">
        <v>59</v>
      </c>
      <c r="D185" t="s">
        <v>551</v>
      </c>
      <c r="E185" t="s">
        <v>586</v>
      </c>
      <c r="F185" s="1">
        <v>42914.916666666664</v>
      </c>
      <c r="G185" t="s">
        <v>44</v>
      </c>
      <c r="H185" t="s">
        <v>553</v>
      </c>
      <c r="I185" t="s">
        <v>554</v>
      </c>
      <c r="J185">
        <v>15860</v>
      </c>
      <c r="K185" t="s">
        <v>490</v>
      </c>
      <c r="L185">
        <v>1271925</v>
      </c>
      <c r="M185">
        <v>249</v>
      </c>
      <c r="P185">
        <v>328</v>
      </c>
      <c r="Q185">
        <v>363</v>
      </c>
      <c r="R185">
        <v>1300</v>
      </c>
      <c r="V185" t="s">
        <v>48</v>
      </c>
      <c r="W185" t="s">
        <v>49</v>
      </c>
      <c r="X185" t="s">
        <v>50</v>
      </c>
      <c r="Z185" t="s">
        <v>587</v>
      </c>
      <c r="AC185" t="s">
        <v>530</v>
      </c>
      <c r="AD185" t="s">
        <v>588</v>
      </c>
      <c r="AE185" t="s">
        <v>55</v>
      </c>
      <c r="AF185" t="s">
        <v>56</v>
      </c>
      <c r="AG185">
        <v>34</v>
      </c>
      <c r="AH185">
        <v>0.15160000000000001</v>
      </c>
      <c r="AI185">
        <v>-0.60650000000000004</v>
      </c>
      <c r="AJ185">
        <v>23480</v>
      </c>
      <c r="AK185">
        <v>130</v>
      </c>
      <c r="AL185">
        <v>270</v>
      </c>
      <c r="AM185">
        <v>1387</v>
      </c>
      <c r="AP185" s="3">
        <v>44301.916666666664</v>
      </c>
    </row>
    <row r="186" spans="1:42" ht="14.45" hidden="1" customHeight="1" x14ac:dyDescent="0.25">
      <c r="A186" t="s">
        <v>59</v>
      </c>
      <c r="D186" t="s">
        <v>551</v>
      </c>
      <c r="E186" t="s">
        <v>589</v>
      </c>
      <c r="F186" s="1">
        <v>42914.916666666664</v>
      </c>
      <c r="G186" t="s">
        <v>44</v>
      </c>
      <c r="H186" t="s">
        <v>553</v>
      </c>
      <c r="I186" t="s">
        <v>554</v>
      </c>
      <c r="J186">
        <v>15863</v>
      </c>
      <c r="K186" t="s">
        <v>490</v>
      </c>
      <c r="L186">
        <v>1271928</v>
      </c>
      <c r="M186">
        <v>246</v>
      </c>
      <c r="P186">
        <v>308</v>
      </c>
      <c r="Q186">
        <v>340</v>
      </c>
      <c r="R186">
        <v>990</v>
      </c>
      <c r="V186" t="s">
        <v>48</v>
      </c>
      <c r="W186" t="s">
        <v>49</v>
      </c>
      <c r="X186" t="s">
        <v>50</v>
      </c>
      <c r="Z186" t="s">
        <v>582</v>
      </c>
      <c r="AC186" t="s">
        <v>530</v>
      </c>
      <c r="AD186" t="s">
        <v>590</v>
      </c>
      <c r="AE186" t="s">
        <v>55</v>
      </c>
      <c r="AF186" t="s">
        <v>56</v>
      </c>
      <c r="AG186">
        <v>34</v>
      </c>
      <c r="AH186">
        <v>0.15160000000000001</v>
      </c>
      <c r="AI186">
        <v>-0.60650000000000004</v>
      </c>
      <c r="AJ186">
        <v>23480</v>
      </c>
      <c r="AK186">
        <v>130</v>
      </c>
      <c r="AL186">
        <v>270</v>
      </c>
      <c r="AM186">
        <v>1387</v>
      </c>
      <c r="AN186" t="s">
        <v>591</v>
      </c>
      <c r="AP186" s="3">
        <v>44301.916666666664</v>
      </c>
    </row>
    <row r="187" spans="1:42" ht="14.45" hidden="1" customHeight="1" x14ac:dyDescent="0.25">
      <c r="A187" t="s">
        <v>59</v>
      </c>
      <c r="D187" t="s">
        <v>122</v>
      </c>
      <c r="E187" t="s">
        <v>592</v>
      </c>
      <c r="F187" s="1">
        <v>42914.916666666664</v>
      </c>
      <c r="G187" t="s">
        <v>44</v>
      </c>
      <c r="H187" t="s">
        <v>124</v>
      </c>
      <c r="I187" t="s">
        <v>125</v>
      </c>
      <c r="J187">
        <v>15861</v>
      </c>
      <c r="K187" t="s">
        <v>490</v>
      </c>
      <c r="L187">
        <v>1271926</v>
      </c>
      <c r="M187">
        <v>248</v>
      </c>
      <c r="N187">
        <v>99221</v>
      </c>
      <c r="P187">
        <v>562</v>
      </c>
      <c r="Q187">
        <v>595</v>
      </c>
      <c r="R187">
        <v>1250</v>
      </c>
      <c r="V187" t="s">
        <v>48</v>
      </c>
      <c r="W187" t="s">
        <v>49</v>
      </c>
      <c r="X187" t="s">
        <v>50</v>
      </c>
      <c r="Z187" t="s">
        <v>582</v>
      </c>
      <c r="AC187" t="s">
        <v>530</v>
      </c>
      <c r="AD187" t="s">
        <v>593</v>
      </c>
      <c r="AE187" t="s">
        <v>55</v>
      </c>
      <c r="AF187" t="s">
        <v>56</v>
      </c>
      <c r="AG187">
        <v>34</v>
      </c>
      <c r="AH187">
        <v>0.15160000000000001</v>
      </c>
      <c r="AI187">
        <v>-0.60650000000000004</v>
      </c>
      <c r="AJ187">
        <v>23480</v>
      </c>
      <c r="AK187">
        <v>130</v>
      </c>
      <c r="AL187">
        <v>270</v>
      </c>
      <c r="AM187">
        <v>1387</v>
      </c>
      <c r="AP187" s="3">
        <v>44301.916666666664</v>
      </c>
    </row>
    <row r="188" spans="1:42" ht="14.45" hidden="1" customHeight="1" x14ac:dyDescent="0.25">
      <c r="A188" t="s">
        <v>59</v>
      </c>
      <c r="D188" t="s">
        <v>578</v>
      </c>
      <c r="E188" t="s">
        <v>594</v>
      </c>
      <c r="F188" s="1">
        <v>42914.916666666664</v>
      </c>
      <c r="G188" t="s">
        <v>44</v>
      </c>
      <c r="H188" t="s">
        <v>580</v>
      </c>
      <c r="I188" t="s">
        <v>581</v>
      </c>
      <c r="J188">
        <v>15862</v>
      </c>
      <c r="K188" t="s">
        <v>490</v>
      </c>
      <c r="L188">
        <v>1271927</v>
      </c>
      <c r="M188">
        <v>247</v>
      </c>
      <c r="N188">
        <v>99249</v>
      </c>
      <c r="P188">
        <v>392</v>
      </c>
      <c r="Q188">
        <v>411</v>
      </c>
      <c r="R188">
        <v>1210</v>
      </c>
      <c r="V188" t="s">
        <v>48</v>
      </c>
      <c r="W188" t="s">
        <v>49</v>
      </c>
      <c r="X188" t="s">
        <v>50</v>
      </c>
      <c r="Z188" t="s">
        <v>582</v>
      </c>
      <c r="AC188" t="s">
        <v>530</v>
      </c>
      <c r="AD188" t="s">
        <v>595</v>
      </c>
      <c r="AE188" t="s">
        <v>55</v>
      </c>
      <c r="AF188" t="s">
        <v>56</v>
      </c>
      <c r="AG188">
        <v>34</v>
      </c>
      <c r="AH188">
        <v>0.15160000000000001</v>
      </c>
      <c r="AI188">
        <v>-0.60650000000000004</v>
      </c>
      <c r="AJ188">
        <v>23480</v>
      </c>
      <c r="AK188">
        <v>130</v>
      </c>
      <c r="AL188">
        <v>270</v>
      </c>
      <c r="AM188">
        <v>1387</v>
      </c>
      <c r="AP188" s="3">
        <v>44301.916666666664</v>
      </c>
    </row>
    <row r="189" spans="1:42" ht="14.45" hidden="1" customHeight="1" x14ac:dyDescent="0.25">
      <c r="A189" t="s">
        <v>59</v>
      </c>
      <c r="D189" t="s">
        <v>551</v>
      </c>
      <c r="E189" t="s">
        <v>596</v>
      </c>
      <c r="F189" s="1">
        <v>43011</v>
      </c>
      <c r="G189" t="s">
        <v>44</v>
      </c>
      <c r="H189" t="s">
        <v>553</v>
      </c>
      <c r="I189" t="s">
        <v>554</v>
      </c>
      <c r="J189">
        <v>15851</v>
      </c>
      <c r="K189" t="s">
        <v>490</v>
      </c>
      <c r="L189">
        <v>1271916</v>
      </c>
      <c r="M189">
        <v>243</v>
      </c>
      <c r="N189">
        <v>99136</v>
      </c>
      <c r="P189">
        <v>332</v>
      </c>
      <c r="R189">
        <v>1090</v>
      </c>
      <c r="V189" t="s">
        <v>48</v>
      </c>
      <c r="W189" t="s">
        <v>49</v>
      </c>
      <c r="X189" t="s">
        <v>50</v>
      </c>
      <c r="Z189" t="s">
        <v>597</v>
      </c>
      <c r="AC189" t="s">
        <v>530</v>
      </c>
      <c r="AD189" t="s">
        <v>598</v>
      </c>
      <c r="AE189" t="s">
        <v>55</v>
      </c>
      <c r="AF189" t="s">
        <v>56</v>
      </c>
      <c r="AG189">
        <v>34</v>
      </c>
      <c r="AH189">
        <v>0.15160000000000001</v>
      </c>
      <c r="AI189">
        <v>-0.60650000000000004</v>
      </c>
      <c r="AJ189">
        <v>23480</v>
      </c>
      <c r="AK189">
        <v>130</v>
      </c>
      <c r="AL189">
        <v>270</v>
      </c>
      <c r="AM189">
        <v>1387</v>
      </c>
      <c r="AN189" t="s">
        <v>599</v>
      </c>
      <c r="AP189" s="3">
        <v>44398</v>
      </c>
    </row>
    <row r="190" spans="1:42" ht="14.45" hidden="1" customHeight="1" x14ac:dyDescent="0.25">
      <c r="A190" t="s">
        <v>59</v>
      </c>
      <c r="D190" t="s">
        <v>551</v>
      </c>
      <c r="E190" t="s">
        <v>600</v>
      </c>
      <c r="F190" s="1">
        <v>43011</v>
      </c>
      <c r="G190" t="s">
        <v>44</v>
      </c>
      <c r="H190" t="s">
        <v>553</v>
      </c>
      <c r="I190" t="s">
        <v>554</v>
      </c>
      <c r="J190">
        <v>15853</v>
      </c>
      <c r="K190" t="s">
        <v>490</v>
      </c>
      <c r="L190">
        <v>1271918</v>
      </c>
      <c r="M190">
        <v>244</v>
      </c>
      <c r="N190">
        <v>98897</v>
      </c>
      <c r="P190">
        <v>220</v>
      </c>
      <c r="R190">
        <v>1100</v>
      </c>
      <c r="V190" t="s">
        <v>48</v>
      </c>
      <c r="W190" t="s">
        <v>49</v>
      </c>
      <c r="X190" t="s">
        <v>50</v>
      </c>
      <c r="Z190" t="s">
        <v>601</v>
      </c>
      <c r="AC190" t="s">
        <v>530</v>
      </c>
      <c r="AD190" t="s">
        <v>602</v>
      </c>
      <c r="AE190" t="s">
        <v>55</v>
      </c>
      <c r="AF190" t="s">
        <v>56</v>
      </c>
      <c r="AG190">
        <v>34</v>
      </c>
      <c r="AH190">
        <v>0.15160000000000001</v>
      </c>
      <c r="AI190">
        <v>-0.60650000000000004</v>
      </c>
      <c r="AJ190">
        <v>23480</v>
      </c>
      <c r="AK190">
        <v>130</v>
      </c>
      <c r="AL190">
        <v>270</v>
      </c>
      <c r="AM190">
        <v>1387</v>
      </c>
      <c r="AN190" t="s">
        <v>603</v>
      </c>
      <c r="AP190" s="3">
        <v>44398</v>
      </c>
    </row>
    <row r="191" spans="1:42" ht="14.45" hidden="1" customHeight="1" x14ac:dyDescent="0.25">
      <c r="A191" t="s">
        <v>59</v>
      </c>
      <c r="D191" t="s">
        <v>122</v>
      </c>
      <c r="E191" t="s">
        <v>604</v>
      </c>
      <c r="F191" s="1">
        <v>43011</v>
      </c>
      <c r="G191" t="s">
        <v>44</v>
      </c>
      <c r="H191" t="s">
        <v>124</v>
      </c>
      <c r="I191" t="s">
        <v>125</v>
      </c>
      <c r="J191">
        <v>15864</v>
      </c>
      <c r="K191" t="s">
        <v>490</v>
      </c>
      <c r="L191">
        <v>1271929</v>
      </c>
      <c r="M191">
        <v>245</v>
      </c>
      <c r="N191">
        <v>99294</v>
      </c>
      <c r="P191">
        <v>690</v>
      </c>
      <c r="R191">
        <v>2250</v>
      </c>
      <c r="V191" t="s">
        <v>48</v>
      </c>
      <c r="W191" t="s">
        <v>49</v>
      </c>
      <c r="X191" t="s">
        <v>50</v>
      </c>
      <c r="Z191" t="s">
        <v>601</v>
      </c>
      <c r="AC191" t="s">
        <v>530</v>
      </c>
      <c r="AD191" t="s">
        <v>605</v>
      </c>
      <c r="AE191" t="s">
        <v>55</v>
      </c>
      <c r="AF191" t="s">
        <v>56</v>
      </c>
      <c r="AG191">
        <v>34</v>
      </c>
      <c r="AH191">
        <v>0.15160000000000001</v>
      </c>
      <c r="AI191">
        <v>-0.60650000000000004</v>
      </c>
      <c r="AJ191">
        <v>23480</v>
      </c>
      <c r="AK191">
        <v>130</v>
      </c>
      <c r="AL191">
        <v>270</v>
      </c>
      <c r="AM191">
        <v>1387</v>
      </c>
      <c r="AN191" t="s">
        <v>606</v>
      </c>
      <c r="AP191" s="3">
        <v>44398</v>
      </c>
    </row>
    <row r="192" spans="1:42" ht="14.45" customHeight="1" x14ac:dyDescent="0.25">
      <c r="A192" t="s">
        <v>59</v>
      </c>
      <c r="D192" t="s">
        <v>607</v>
      </c>
      <c r="E192" t="s">
        <v>608</v>
      </c>
      <c r="F192" s="1">
        <v>43012</v>
      </c>
      <c r="G192" t="s">
        <v>44</v>
      </c>
      <c r="H192" t="s">
        <v>607</v>
      </c>
      <c r="I192" t="s">
        <v>609</v>
      </c>
      <c r="J192">
        <v>15865</v>
      </c>
      <c r="K192" t="s">
        <v>490</v>
      </c>
      <c r="L192">
        <v>1271930</v>
      </c>
      <c r="M192">
        <v>242</v>
      </c>
      <c r="N192">
        <v>99037</v>
      </c>
      <c r="P192">
        <v>292</v>
      </c>
      <c r="Q192">
        <v>322</v>
      </c>
      <c r="R192">
        <v>630</v>
      </c>
      <c r="V192" t="s">
        <v>48</v>
      </c>
      <c r="W192" t="s">
        <v>49</v>
      </c>
      <c r="X192" t="s">
        <v>50</v>
      </c>
      <c r="Z192" t="s">
        <v>610</v>
      </c>
      <c r="AC192" t="s">
        <v>611</v>
      </c>
      <c r="AD192" t="s">
        <v>612</v>
      </c>
      <c r="AE192" t="s">
        <v>55</v>
      </c>
      <c r="AF192" t="s">
        <v>56</v>
      </c>
      <c r="AG192">
        <v>34</v>
      </c>
      <c r="AH192">
        <v>0.15160000000000001</v>
      </c>
      <c r="AI192">
        <v>-0.60650000000000004</v>
      </c>
      <c r="AJ192">
        <v>23480</v>
      </c>
      <c r="AK192">
        <v>130</v>
      </c>
      <c r="AL192">
        <v>270</v>
      </c>
      <c r="AM192">
        <v>1387</v>
      </c>
      <c r="AP192" s="3">
        <v>44399</v>
      </c>
    </row>
    <row r="193" spans="1:42" ht="14.45" hidden="1" customHeight="1" x14ac:dyDescent="0.25">
      <c r="A193" t="s">
        <v>59</v>
      </c>
      <c r="D193" t="s">
        <v>613</v>
      </c>
      <c r="E193" t="s">
        <v>614</v>
      </c>
      <c r="F193" s="1">
        <v>43013</v>
      </c>
      <c r="G193" t="s">
        <v>44</v>
      </c>
      <c r="H193" t="s">
        <v>615</v>
      </c>
      <c r="I193" t="s">
        <v>616</v>
      </c>
      <c r="J193">
        <v>15839</v>
      </c>
      <c r="K193" t="s">
        <v>490</v>
      </c>
      <c r="L193">
        <v>1271904</v>
      </c>
      <c r="M193">
        <v>227</v>
      </c>
      <c r="N193">
        <v>99323</v>
      </c>
      <c r="P193">
        <v>605</v>
      </c>
      <c r="Q193">
        <v>678</v>
      </c>
      <c r="R193">
        <v>5505</v>
      </c>
      <c r="V193" t="s">
        <v>48</v>
      </c>
      <c r="W193" t="s">
        <v>49</v>
      </c>
      <c r="X193" t="s">
        <v>50</v>
      </c>
      <c r="Z193" t="s">
        <v>597</v>
      </c>
      <c r="AC193" t="s">
        <v>530</v>
      </c>
      <c r="AD193" t="s">
        <v>617</v>
      </c>
      <c r="AE193" t="s">
        <v>55</v>
      </c>
      <c r="AF193" t="s">
        <v>56</v>
      </c>
      <c r="AG193">
        <v>34</v>
      </c>
      <c r="AH193">
        <v>0.15160000000000001</v>
      </c>
      <c r="AI193">
        <v>-0.60650000000000004</v>
      </c>
      <c r="AJ193">
        <v>23480</v>
      </c>
      <c r="AK193">
        <v>130</v>
      </c>
      <c r="AL193">
        <v>270</v>
      </c>
      <c r="AM193">
        <v>1387</v>
      </c>
      <c r="AP193" s="3">
        <v>44400</v>
      </c>
    </row>
    <row r="194" spans="1:42" ht="14.45" hidden="1" customHeight="1" x14ac:dyDescent="0.25">
      <c r="A194" t="s">
        <v>59</v>
      </c>
      <c r="D194" t="s">
        <v>613</v>
      </c>
      <c r="E194" t="s">
        <v>618</v>
      </c>
      <c r="F194" s="1">
        <v>43013</v>
      </c>
      <c r="G194" t="s">
        <v>44</v>
      </c>
      <c r="H194" t="s">
        <v>615</v>
      </c>
      <c r="I194" t="s">
        <v>616</v>
      </c>
      <c r="J194">
        <v>15840</v>
      </c>
      <c r="K194" t="s">
        <v>490</v>
      </c>
      <c r="L194">
        <v>1271905</v>
      </c>
      <c r="M194">
        <v>224</v>
      </c>
      <c r="N194">
        <v>98937</v>
      </c>
      <c r="P194">
        <v>587</v>
      </c>
      <c r="Q194">
        <v>663</v>
      </c>
      <c r="R194">
        <v>5360</v>
      </c>
      <c r="V194" t="s">
        <v>48</v>
      </c>
      <c r="W194" t="s">
        <v>49</v>
      </c>
      <c r="X194" t="s">
        <v>50</v>
      </c>
      <c r="Z194" t="s">
        <v>597</v>
      </c>
      <c r="AC194" t="s">
        <v>530</v>
      </c>
      <c r="AD194" t="s">
        <v>619</v>
      </c>
      <c r="AE194" t="s">
        <v>55</v>
      </c>
      <c r="AF194" t="s">
        <v>56</v>
      </c>
      <c r="AG194">
        <v>34</v>
      </c>
      <c r="AH194">
        <v>0.15160000000000001</v>
      </c>
      <c r="AI194">
        <v>-0.60650000000000004</v>
      </c>
      <c r="AJ194">
        <v>23480</v>
      </c>
      <c r="AK194">
        <v>130</v>
      </c>
      <c r="AL194">
        <v>270</v>
      </c>
      <c r="AM194">
        <v>1387</v>
      </c>
      <c r="AP194" s="3">
        <v>44400</v>
      </c>
    </row>
    <row r="195" spans="1:42" ht="14.45" hidden="1" customHeight="1" x14ac:dyDescent="0.25">
      <c r="A195" t="s">
        <v>59</v>
      </c>
      <c r="D195" t="s">
        <v>613</v>
      </c>
      <c r="E195" t="s">
        <v>620</v>
      </c>
      <c r="F195" s="1">
        <v>43013</v>
      </c>
      <c r="G195" t="s">
        <v>44</v>
      </c>
      <c r="H195" t="s">
        <v>615</v>
      </c>
      <c r="I195" t="s">
        <v>616</v>
      </c>
      <c r="J195">
        <v>15841</v>
      </c>
      <c r="K195" t="s">
        <v>490</v>
      </c>
      <c r="L195">
        <v>1271906</v>
      </c>
      <c r="M195">
        <v>222</v>
      </c>
      <c r="N195">
        <v>99067</v>
      </c>
      <c r="P195">
        <v>652</v>
      </c>
      <c r="Q195">
        <v>727</v>
      </c>
      <c r="R195">
        <v>7694</v>
      </c>
      <c r="V195" t="s">
        <v>48</v>
      </c>
      <c r="W195" t="s">
        <v>49</v>
      </c>
      <c r="X195" t="s">
        <v>50</v>
      </c>
      <c r="Z195" t="s">
        <v>597</v>
      </c>
      <c r="AC195" t="s">
        <v>530</v>
      </c>
      <c r="AD195" t="s">
        <v>621</v>
      </c>
      <c r="AE195" t="s">
        <v>55</v>
      </c>
      <c r="AF195" t="s">
        <v>56</v>
      </c>
      <c r="AG195">
        <v>34</v>
      </c>
      <c r="AH195">
        <v>0.15160000000000001</v>
      </c>
      <c r="AI195">
        <v>-0.60650000000000004</v>
      </c>
      <c r="AJ195">
        <v>23480</v>
      </c>
      <c r="AK195">
        <v>130</v>
      </c>
      <c r="AL195">
        <v>270</v>
      </c>
      <c r="AM195">
        <v>1387</v>
      </c>
      <c r="AP195" s="3">
        <v>44400</v>
      </c>
    </row>
    <row r="196" spans="1:42" ht="14.45" hidden="1" customHeight="1" x14ac:dyDescent="0.25">
      <c r="A196" t="s">
        <v>59</v>
      </c>
      <c r="D196" t="s">
        <v>613</v>
      </c>
      <c r="E196" t="s">
        <v>622</v>
      </c>
      <c r="F196" s="1">
        <v>43013</v>
      </c>
      <c r="G196" t="s">
        <v>44</v>
      </c>
      <c r="H196" t="s">
        <v>615</v>
      </c>
      <c r="I196" t="s">
        <v>616</v>
      </c>
      <c r="J196">
        <v>15844</v>
      </c>
      <c r="K196" t="s">
        <v>490</v>
      </c>
      <c r="L196">
        <v>1271909</v>
      </c>
      <c r="M196">
        <v>229</v>
      </c>
      <c r="N196">
        <v>99272</v>
      </c>
      <c r="P196">
        <v>540</v>
      </c>
      <c r="Q196">
        <v>597</v>
      </c>
      <c r="R196">
        <v>2560</v>
      </c>
      <c r="V196" t="s">
        <v>48</v>
      </c>
      <c r="W196" t="s">
        <v>49</v>
      </c>
      <c r="X196" t="s">
        <v>50</v>
      </c>
      <c r="Z196" t="s">
        <v>623</v>
      </c>
      <c r="AC196" t="s">
        <v>624</v>
      </c>
      <c r="AD196" t="s">
        <v>625</v>
      </c>
      <c r="AE196" t="s">
        <v>55</v>
      </c>
      <c r="AF196" t="s">
        <v>56</v>
      </c>
      <c r="AG196">
        <v>34</v>
      </c>
      <c r="AH196">
        <v>0.15160000000000001</v>
      </c>
      <c r="AI196">
        <v>-0.60650000000000004</v>
      </c>
      <c r="AJ196">
        <v>23480</v>
      </c>
      <c r="AK196">
        <v>130</v>
      </c>
      <c r="AL196">
        <v>270</v>
      </c>
      <c r="AM196">
        <v>1387</v>
      </c>
      <c r="AN196" t="s">
        <v>626</v>
      </c>
      <c r="AP196" s="3">
        <v>44400</v>
      </c>
    </row>
    <row r="197" spans="1:42" ht="14.45" hidden="1" customHeight="1" x14ac:dyDescent="0.25">
      <c r="A197" t="s">
        <v>42</v>
      </c>
      <c r="C197" s="2">
        <v>44486</v>
      </c>
      <c r="D197" t="s">
        <v>613</v>
      </c>
      <c r="E197" t="s">
        <v>627</v>
      </c>
      <c r="F197" s="1">
        <v>43013</v>
      </c>
      <c r="G197" t="s">
        <v>44</v>
      </c>
      <c r="H197" t="s">
        <v>615</v>
      </c>
      <c r="I197" t="s">
        <v>616</v>
      </c>
      <c r="J197">
        <v>15846</v>
      </c>
      <c r="K197" t="s">
        <v>490</v>
      </c>
      <c r="L197">
        <v>1271911</v>
      </c>
      <c r="M197">
        <v>239</v>
      </c>
      <c r="N197">
        <v>99131</v>
      </c>
      <c r="P197">
        <v>401</v>
      </c>
      <c r="Q197">
        <v>453</v>
      </c>
      <c r="R197">
        <v>1470</v>
      </c>
      <c r="V197" t="s">
        <v>48</v>
      </c>
      <c r="W197" t="s">
        <v>49</v>
      </c>
      <c r="X197" t="s">
        <v>50</v>
      </c>
      <c r="Z197" t="s">
        <v>300</v>
      </c>
      <c r="AC197" t="s">
        <v>530</v>
      </c>
      <c r="AD197" t="s">
        <v>628</v>
      </c>
      <c r="AE197" t="s">
        <v>55</v>
      </c>
      <c r="AF197" t="s">
        <v>56</v>
      </c>
      <c r="AG197">
        <v>34</v>
      </c>
      <c r="AH197">
        <v>0.15160000000000001</v>
      </c>
      <c r="AI197">
        <v>-0.60650000000000004</v>
      </c>
      <c r="AJ197">
        <v>23480</v>
      </c>
      <c r="AK197">
        <v>130</v>
      </c>
      <c r="AL197">
        <v>270</v>
      </c>
      <c r="AM197">
        <v>1387</v>
      </c>
      <c r="AP197" s="3">
        <v>44400</v>
      </c>
    </row>
    <row r="198" spans="1:42" ht="14.45" hidden="1" customHeight="1" x14ac:dyDescent="0.25">
      <c r="A198" t="s">
        <v>42</v>
      </c>
      <c r="C198" s="2">
        <v>44486</v>
      </c>
      <c r="D198" t="s">
        <v>613</v>
      </c>
      <c r="E198" t="s">
        <v>629</v>
      </c>
      <c r="F198" s="1">
        <v>43013</v>
      </c>
      <c r="G198" t="s">
        <v>44</v>
      </c>
      <c r="H198" t="s">
        <v>615</v>
      </c>
      <c r="I198" t="s">
        <v>616</v>
      </c>
      <c r="J198">
        <v>15847</v>
      </c>
      <c r="K198" t="s">
        <v>490</v>
      </c>
      <c r="L198">
        <v>1271912</v>
      </c>
      <c r="M198">
        <v>237</v>
      </c>
      <c r="N198">
        <v>99198</v>
      </c>
      <c r="P198">
        <v>410</v>
      </c>
      <c r="Q198">
        <v>453</v>
      </c>
      <c r="R198">
        <v>1500</v>
      </c>
      <c r="V198" t="s">
        <v>48</v>
      </c>
      <c r="W198" t="s">
        <v>49</v>
      </c>
      <c r="X198" t="s">
        <v>50</v>
      </c>
      <c r="Z198" t="s">
        <v>300</v>
      </c>
      <c r="AC198" t="s">
        <v>530</v>
      </c>
      <c r="AD198" t="s">
        <v>630</v>
      </c>
      <c r="AE198" t="s">
        <v>55</v>
      </c>
      <c r="AF198" t="s">
        <v>56</v>
      </c>
      <c r="AG198">
        <v>34</v>
      </c>
      <c r="AH198">
        <v>0.15160000000000001</v>
      </c>
      <c r="AI198">
        <v>-0.60650000000000004</v>
      </c>
      <c r="AJ198">
        <v>23480</v>
      </c>
      <c r="AK198">
        <v>130</v>
      </c>
      <c r="AL198">
        <v>270</v>
      </c>
      <c r="AM198">
        <v>1387</v>
      </c>
      <c r="AP198" s="3">
        <v>44400</v>
      </c>
    </row>
    <row r="199" spans="1:42" ht="14.45" hidden="1" customHeight="1" x14ac:dyDescent="0.25">
      <c r="A199" t="s">
        <v>42</v>
      </c>
      <c r="C199" s="2">
        <v>44486</v>
      </c>
      <c r="D199" t="s">
        <v>613</v>
      </c>
      <c r="E199" t="s">
        <v>631</v>
      </c>
      <c r="F199" s="1">
        <v>43013</v>
      </c>
      <c r="G199" t="s">
        <v>44</v>
      </c>
      <c r="H199" t="s">
        <v>615</v>
      </c>
      <c r="I199" t="s">
        <v>616</v>
      </c>
      <c r="J199">
        <v>15848</v>
      </c>
      <c r="K199" t="s">
        <v>490</v>
      </c>
      <c r="L199">
        <v>1271913</v>
      </c>
      <c r="M199">
        <v>235</v>
      </c>
      <c r="N199">
        <v>99100</v>
      </c>
      <c r="P199">
        <v>446</v>
      </c>
      <c r="Q199">
        <v>505</v>
      </c>
      <c r="R199">
        <v>1840</v>
      </c>
      <c r="V199" t="s">
        <v>48</v>
      </c>
      <c r="W199" t="s">
        <v>49</v>
      </c>
      <c r="X199" t="s">
        <v>50</v>
      </c>
      <c r="Z199" t="s">
        <v>300</v>
      </c>
      <c r="AC199" t="s">
        <v>530</v>
      </c>
      <c r="AD199" t="s">
        <v>632</v>
      </c>
      <c r="AE199" t="s">
        <v>55</v>
      </c>
      <c r="AF199" t="s">
        <v>56</v>
      </c>
      <c r="AG199">
        <v>34</v>
      </c>
      <c r="AH199">
        <v>0.15160000000000001</v>
      </c>
      <c r="AI199">
        <v>-0.60650000000000004</v>
      </c>
      <c r="AJ199">
        <v>23480</v>
      </c>
      <c r="AK199">
        <v>130</v>
      </c>
      <c r="AL199">
        <v>270</v>
      </c>
      <c r="AM199">
        <v>1387</v>
      </c>
      <c r="AN199" t="s">
        <v>626</v>
      </c>
      <c r="AP199" s="3">
        <v>44400</v>
      </c>
    </row>
    <row r="200" spans="1:42" ht="14.45" hidden="1" customHeight="1" x14ac:dyDescent="0.25">
      <c r="A200" t="s">
        <v>42</v>
      </c>
      <c r="C200" s="2">
        <v>44486</v>
      </c>
      <c r="D200" t="s">
        <v>613</v>
      </c>
      <c r="E200" t="s">
        <v>633</v>
      </c>
      <c r="F200" s="1">
        <v>43013</v>
      </c>
      <c r="G200" t="s">
        <v>44</v>
      </c>
      <c r="H200" t="s">
        <v>615</v>
      </c>
      <c r="I200" t="s">
        <v>616</v>
      </c>
      <c r="J200">
        <v>15850</v>
      </c>
      <c r="K200" t="s">
        <v>490</v>
      </c>
      <c r="L200">
        <v>1271915</v>
      </c>
      <c r="M200">
        <v>240</v>
      </c>
      <c r="N200">
        <v>99014</v>
      </c>
      <c r="P200">
        <v>443</v>
      </c>
      <c r="Q200">
        <v>504</v>
      </c>
      <c r="R200">
        <v>1680</v>
      </c>
      <c r="V200" t="s">
        <v>48</v>
      </c>
      <c r="W200" t="s">
        <v>49</v>
      </c>
      <c r="X200" t="s">
        <v>50</v>
      </c>
      <c r="Z200" t="s">
        <v>300</v>
      </c>
      <c r="AC200" t="s">
        <v>530</v>
      </c>
      <c r="AD200" t="s">
        <v>634</v>
      </c>
      <c r="AE200" t="s">
        <v>55</v>
      </c>
      <c r="AF200" t="s">
        <v>56</v>
      </c>
      <c r="AG200">
        <v>34</v>
      </c>
      <c r="AH200">
        <v>0.15160000000000001</v>
      </c>
      <c r="AI200">
        <v>-0.60650000000000004</v>
      </c>
      <c r="AJ200">
        <v>23480</v>
      </c>
      <c r="AK200">
        <v>130</v>
      </c>
      <c r="AL200">
        <v>270</v>
      </c>
      <c r="AM200">
        <v>1387</v>
      </c>
      <c r="AP200" s="3">
        <v>44400</v>
      </c>
    </row>
    <row r="201" spans="1:42" ht="14.45" hidden="1" customHeight="1" x14ac:dyDescent="0.25">
      <c r="A201" t="s">
        <v>59</v>
      </c>
      <c r="D201" t="s">
        <v>613</v>
      </c>
      <c r="E201" t="s">
        <v>635</v>
      </c>
      <c r="F201" s="1">
        <v>43013</v>
      </c>
      <c r="G201" t="s">
        <v>44</v>
      </c>
      <c r="H201" t="s">
        <v>615</v>
      </c>
      <c r="I201" t="s">
        <v>616</v>
      </c>
      <c r="J201">
        <v>15852</v>
      </c>
      <c r="K201" t="s">
        <v>490</v>
      </c>
      <c r="L201">
        <v>1271917</v>
      </c>
      <c r="M201">
        <v>236</v>
      </c>
      <c r="N201">
        <v>99201</v>
      </c>
      <c r="P201">
        <v>462</v>
      </c>
      <c r="Q201">
        <v>510</v>
      </c>
      <c r="R201">
        <v>2170</v>
      </c>
      <c r="V201" t="s">
        <v>48</v>
      </c>
      <c r="W201" t="s">
        <v>49</v>
      </c>
      <c r="X201" t="s">
        <v>50</v>
      </c>
      <c r="Z201" t="s">
        <v>300</v>
      </c>
      <c r="AC201" t="s">
        <v>530</v>
      </c>
      <c r="AD201" t="s">
        <v>636</v>
      </c>
      <c r="AE201" t="s">
        <v>55</v>
      </c>
      <c r="AF201" t="s">
        <v>56</v>
      </c>
      <c r="AG201">
        <v>34</v>
      </c>
      <c r="AH201">
        <v>0.15160000000000001</v>
      </c>
      <c r="AI201">
        <v>-0.60650000000000004</v>
      </c>
      <c r="AJ201">
        <v>23480</v>
      </c>
      <c r="AK201">
        <v>130</v>
      </c>
      <c r="AL201">
        <v>270</v>
      </c>
      <c r="AM201">
        <v>1387</v>
      </c>
      <c r="AN201" t="s">
        <v>626</v>
      </c>
      <c r="AP201" s="3">
        <v>44400</v>
      </c>
    </row>
    <row r="202" spans="1:42" ht="14.45" hidden="1" customHeight="1" x14ac:dyDescent="0.25">
      <c r="A202" t="s">
        <v>59</v>
      </c>
      <c r="D202" t="s">
        <v>551</v>
      </c>
      <c r="E202" t="s">
        <v>637</v>
      </c>
      <c r="F202" s="1">
        <v>43013</v>
      </c>
      <c r="G202" t="s">
        <v>44</v>
      </c>
      <c r="H202" t="s">
        <v>553</v>
      </c>
      <c r="I202" t="s">
        <v>554</v>
      </c>
      <c r="J202">
        <v>15849</v>
      </c>
      <c r="K202" t="s">
        <v>490</v>
      </c>
      <c r="L202">
        <v>1271914</v>
      </c>
      <c r="M202">
        <v>232</v>
      </c>
      <c r="N202">
        <v>99135</v>
      </c>
      <c r="P202">
        <v>258</v>
      </c>
      <c r="Q202">
        <v>280</v>
      </c>
      <c r="R202">
        <v>530</v>
      </c>
      <c r="V202" t="s">
        <v>48</v>
      </c>
      <c r="W202" t="s">
        <v>49</v>
      </c>
      <c r="X202" t="s">
        <v>50</v>
      </c>
      <c r="Z202" t="s">
        <v>452</v>
      </c>
      <c r="AC202" t="s">
        <v>624</v>
      </c>
      <c r="AD202" t="s">
        <v>638</v>
      </c>
      <c r="AE202" t="s">
        <v>55</v>
      </c>
      <c r="AF202" t="s">
        <v>56</v>
      </c>
      <c r="AG202">
        <v>34</v>
      </c>
      <c r="AH202">
        <v>0.15160000000000001</v>
      </c>
      <c r="AI202">
        <v>-0.60650000000000004</v>
      </c>
      <c r="AJ202">
        <v>23480</v>
      </c>
      <c r="AK202">
        <v>130</v>
      </c>
      <c r="AL202">
        <v>270</v>
      </c>
      <c r="AM202">
        <v>1387</v>
      </c>
      <c r="AN202" t="s">
        <v>626</v>
      </c>
      <c r="AP202" s="3">
        <v>44400</v>
      </c>
    </row>
    <row r="203" spans="1:42" ht="14.45" hidden="1" customHeight="1" x14ac:dyDescent="0.25">
      <c r="A203" t="s">
        <v>59</v>
      </c>
      <c r="D203" t="s">
        <v>122</v>
      </c>
      <c r="E203" t="s">
        <v>639</v>
      </c>
      <c r="F203" s="1">
        <v>43013</v>
      </c>
      <c r="G203" t="s">
        <v>44</v>
      </c>
      <c r="H203" t="s">
        <v>124</v>
      </c>
      <c r="I203" t="s">
        <v>125</v>
      </c>
      <c r="J203">
        <v>15838</v>
      </c>
      <c r="K203" t="s">
        <v>490</v>
      </c>
      <c r="L203">
        <v>1271903</v>
      </c>
      <c r="M203">
        <v>230</v>
      </c>
      <c r="N203">
        <v>99103</v>
      </c>
      <c r="P203">
        <v>604</v>
      </c>
      <c r="Q203">
        <v>646</v>
      </c>
      <c r="R203">
        <v>1650</v>
      </c>
      <c r="V203" t="s">
        <v>48</v>
      </c>
      <c r="W203" t="s">
        <v>49</v>
      </c>
      <c r="X203" t="s">
        <v>50</v>
      </c>
      <c r="Z203" t="s">
        <v>610</v>
      </c>
      <c r="AC203" t="s">
        <v>624</v>
      </c>
      <c r="AD203" t="s">
        <v>640</v>
      </c>
      <c r="AE203" t="s">
        <v>55</v>
      </c>
      <c r="AF203" t="s">
        <v>56</v>
      </c>
      <c r="AG203">
        <v>34</v>
      </c>
      <c r="AH203">
        <v>0.15160000000000001</v>
      </c>
      <c r="AI203">
        <v>-0.60650000000000004</v>
      </c>
      <c r="AJ203">
        <v>23480</v>
      </c>
      <c r="AK203">
        <v>130</v>
      </c>
      <c r="AL203">
        <v>270</v>
      </c>
      <c r="AM203">
        <v>1387</v>
      </c>
      <c r="AP203" s="3">
        <v>44400</v>
      </c>
    </row>
    <row r="204" spans="1:42" ht="14.45" hidden="1" customHeight="1" x14ac:dyDescent="0.25">
      <c r="A204" t="s">
        <v>59</v>
      </c>
      <c r="D204" t="s">
        <v>122</v>
      </c>
      <c r="E204" t="s">
        <v>641</v>
      </c>
      <c r="F204" s="1">
        <v>43013</v>
      </c>
      <c r="G204" t="s">
        <v>44</v>
      </c>
      <c r="H204" t="s">
        <v>124</v>
      </c>
      <c r="I204" t="s">
        <v>125</v>
      </c>
      <c r="J204">
        <v>15842</v>
      </c>
      <c r="K204" t="s">
        <v>490</v>
      </c>
      <c r="L204">
        <v>1271907</v>
      </c>
      <c r="M204">
        <v>234</v>
      </c>
      <c r="N204">
        <v>99206</v>
      </c>
      <c r="P204">
        <v>592</v>
      </c>
      <c r="Q204">
        <v>624</v>
      </c>
      <c r="R204">
        <v>1620</v>
      </c>
      <c r="V204" t="s">
        <v>48</v>
      </c>
      <c r="W204" t="s">
        <v>49</v>
      </c>
      <c r="X204" t="s">
        <v>50</v>
      </c>
      <c r="Z204" t="s">
        <v>452</v>
      </c>
      <c r="AC204" t="s">
        <v>624</v>
      </c>
      <c r="AD204" t="s">
        <v>642</v>
      </c>
      <c r="AE204" t="s">
        <v>55</v>
      </c>
      <c r="AF204" t="s">
        <v>56</v>
      </c>
      <c r="AG204">
        <v>34</v>
      </c>
      <c r="AH204">
        <v>0.15160000000000001</v>
      </c>
      <c r="AI204">
        <v>-0.60650000000000004</v>
      </c>
      <c r="AJ204">
        <v>23480</v>
      </c>
      <c r="AK204">
        <v>130</v>
      </c>
      <c r="AL204">
        <v>270</v>
      </c>
      <c r="AM204">
        <v>1387</v>
      </c>
      <c r="AP204" s="3">
        <v>44400</v>
      </c>
    </row>
    <row r="205" spans="1:42" ht="14.45" hidden="1" customHeight="1" x14ac:dyDescent="0.25">
      <c r="A205" t="s">
        <v>59</v>
      </c>
      <c r="D205" t="s">
        <v>122</v>
      </c>
      <c r="E205" t="s">
        <v>643</v>
      </c>
      <c r="F205" s="1">
        <v>43013</v>
      </c>
      <c r="G205" t="s">
        <v>44</v>
      </c>
      <c r="H205" t="s">
        <v>124</v>
      </c>
      <c r="I205" t="s">
        <v>125</v>
      </c>
      <c r="J205">
        <v>15843</v>
      </c>
      <c r="K205" t="s">
        <v>490</v>
      </c>
      <c r="L205">
        <v>1271908</v>
      </c>
      <c r="M205">
        <v>233</v>
      </c>
      <c r="N205">
        <v>99115</v>
      </c>
      <c r="P205">
        <v>597</v>
      </c>
      <c r="Q205">
        <v>630</v>
      </c>
      <c r="R205">
        <v>1400</v>
      </c>
      <c r="V205" t="s">
        <v>48</v>
      </c>
      <c r="W205" t="s">
        <v>49</v>
      </c>
      <c r="X205" t="s">
        <v>50</v>
      </c>
      <c r="Z205" t="s">
        <v>452</v>
      </c>
      <c r="AC205" t="s">
        <v>624</v>
      </c>
      <c r="AD205" t="s">
        <v>644</v>
      </c>
      <c r="AE205" t="s">
        <v>55</v>
      </c>
      <c r="AF205" t="s">
        <v>56</v>
      </c>
      <c r="AG205">
        <v>34</v>
      </c>
      <c r="AH205">
        <v>0.15160000000000001</v>
      </c>
      <c r="AI205">
        <v>-0.60650000000000004</v>
      </c>
      <c r="AJ205">
        <v>23480</v>
      </c>
      <c r="AK205">
        <v>130</v>
      </c>
      <c r="AL205">
        <v>270</v>
      </c>
      <c r="AM205">
        <v>1387</v>
      </c>
      <c r="AP205" s="3">
        <v>44400</v>
      </c>
    </row>
    <row r="206" spans="1:42" ht="14.45" hidden="1" customHeight="1" x14ac:dyDescent="0.25">
      <c r="A206" t="s">
        <v>59</v>
      </c>
      <c r="D206" t="s">
        <v>122</v>
      </c>
      <c r="E206" t="s">
        <v>645</v>
      </c>
      <c r="F206" s="1">
        <v>43013</v>
      </c>
      <c r="G206" t="s">
        <v>44</v>
      </c>
      <c r="H206" t="s">
        <v>124</v>
      </c>
      <c r="I206" t="s">
        <v>125</v>
      </c>
      <c r="J206">
        <v>15845</v>
      </c>
      <c r="K206" t="s">
        <v>490</v>
      </c>
      <c r="L206">
        <v>1271910</v>
      </c>
      <c r="M206">
        <v>228</v>
      </c>
      <c r="N206">
        <v>99372</v>
      </c>
      <c r="P206">
        <v>821</v>
      </c>
      <c r="Q206">
        <v>875</v>
      </c>
      <c r="V206" t="s">
        <v>48</v>
      </c>
      <c r="W206" t="s">
        <v>49</v>
      </c>
      <c r="X206" t="s">
        <v>50</v>
      </c>
      <c r="Z206" t="s">
        <v>597</v>
      </c>
      <c r="AC206" t="s">
        <v>530</v>
      </c>
      <c r="AD206" t="s">
        <v>646</v>
      </c>
      <c r="AE206" t="s">
        <v>55</v>
      </c>
      <c r="AF206" t="s">
        <v>56</v>
      </c>
      <c r="AG206">
        <v>34</v>
      </c>
      <c r="AH206">
        <v>0.15160000000000001</v>
      </c>
      <c r="AI206">
        <v>-0.60650000000000004</v>
      </c>
      <c r="AJ206">
        <v>23480</v>
      </c>
      <c r="AK206">
        <v>130</v>
      </c>
      <c r="AL206">
        <v>270</v>
      </c>
      <c r="AM206">
        <v>1387</v>
      </c>
      <c r="AN206" t="s">
        <v>647</v>
      </c>
      <c r="AP206" s="3">
        <v>44400</v>
      </c>
    </row>
    <row r="207" spans="1:42" ht="14.45" hidden="1" customHeight="1" x14ac:dyDescent="0.25">
      <c r="A207" t="s">
        <v>59</v>
      </c>
      <c r="D207" t="s">
        <v>613</v>
      </c>
      <c r="E207" t="s">
        <v>648</v>
      </c>
      <c r="F207" s="1">
        <v>43028</v>
      </c>
      <c r="G207" t="s">
        <v>44</v>
      </c>
      <c r="H207" t="s">
        <v>615</v>
      </c>
      <c r="I207" t="s">
        <v>616</v>
      </c>
      <c r="J207">
        <v>15835</v>
      </c>
      <c r="K207" t="s">
        <v>490</v>
      </c>
      <c r="L207">
        <v>1271900</v>
      </c>
      <c r="M207">
        <v>220</v>
      </c>
      <c r="N207">
        <v>99332</v>
      </c>
      <c r="P207">
        <v>540</v>
      </c>
      <c r="Q207">
        <v>590</v>
      </c>
      <c r="R207">
        <v>3400</v>
      </c>
      <c r="V207" t="s">
        <v>48</v>
      </c>
      <c r="W207" t="s">
        <v>49</v>
      </c>
      <c r="X207" t="s">
        <v>50</v>
      </c>
      <c r="Z207" t="s">
        <v>610</v>
      </c>
      <c r="AC207" t="s">
        <v>530</v>
      </c>
      <c r="AD207" t="s">
        <v>649</v>
      </c>
      <c r="AE207" t="s">
        <v>55</v>
      </c>
      <c r="AF207" t="s">
        <v>56</v>
      </c>
      <c r="AG207">
        <v>34</v>
      </c>
      <c r="AH207">
        <v>0.15160000000000001</v>
      </c>
      <c r="AI207">
        <v>-0.60650000000000004</v>
      </c>
      <c r="AJ207">
        <v>23480</v>
      </c>
      <c r="AK207">
        <v>130</v>
      </c>
      <c r="AL207">
        <v>270</v>
      </c>
      <c r="AM207">
        <v>1387</v>
      </c>
      <c r="AN207" t="s">
        <v>650</v>
      </c>
      <c r="AP207" s="3">
        <v>44415</v>
      </c>
    </row>
    <row r="208" spans="1:42" ht="14.45" hidden="1" customHeight="1" x14ac:dyDescent="0.25">
      <c r="A208" t="s">
        <v>59</v>
      </c>
      <c r="D208" t="s">
        <v>122</v>
      </c>
      <c r="E208" t="s">
        <v>651</v>
      </c>
      <c r="F208" s="1">
        <v>43028</v>
      </c>
      <c r="G208" t="s">
        <v>44</v>
      </c>
      <c r="H208" t="s">
        <v>124</v>
      </c>
      <c r="I208" t="s">
        <v>125</v>
      </c>
      <c r="J208">
        <v>15831</v>
      </c>
      <c r="K208" t="s">
        <v>490</v>
      </c>
      <c r="L208">
        <v>1271896</v>
      </c>
      <c r="M208">
        <v>215</v>
      </c>
      <c r="N208">
        <v>99130</v>
      </c>
      <c r="P208">
        <v>778</v>
      </c>
      <c r="Q208">
        <v>818</v>
      </c>
      <c r="R208">
        <v>3500</v>
      </c>
      <c r="V208" t="s">
        <v>48</v>
      </c>
      <c r="W208" t="s">
        <v>49</v>
      </c>
      <c r="X208" t="s">
        <v>50</v>
      </c>
      <c r="Z208" t="s">
        <v>610</v>
      </c>
      <c r="AC208" t="s">
        <v>530</v>
      </c>
      <c r="AD208" t="s">
        <v>652</v>
      </c>
      <c r="AE208" t="s">
        <v>55</v>
      </c>
      <c r="AF208" t="s">
        <v>56</v>
      </c>
      <c r="AG208">
        <v>34</v>
      </c>
      <c r="AH208">
        <v>0.15160000000000001</v>
      </c>
      <c r="AI208">
        <v>-0.60650000000000004</v>
      </c>
      <c r="AJ208">
        <v>23480</v>
      </c>
      <c r="AK208">
        <v>130</v>
      </c>
      <c r="AL208">
        <v>270</v>
      </c>
      <c r="AM208">
        <v>1387</v>
      </c>
      <c r="AN208" t="s">
        <v>653</v>
      </c>
      <c r="AP208" s="3">
        <v>44415</v>
      </c>
    </row>
    <row r="209" spans="1:42" ht="14.45" hidden="1" customHeight="1" x14ac:dyDescent="0.25">
      <c r="A209" t="s">
        <v>59</v>
      </c>
      <c r="D209" t="s">
        <v>122</v>
      </c>
      <c r="E209" t="s">
        <v>654</v>
      </c>
      <c r="F209" s="1">
        <v>43028</v>
      </c>
      <c r="G209" t="s">
        <v>44</v>
      </c>
      <c r="H209" t="s">
        <v>124</v>
      </c>
      <c r="I209" t="s">
        <v>125</v>
      </c>
      <c r="J209">
        <v>15832</v>
      </c>
      <c r="K209" t="s">
        <v>490</v>
      </c>
      <c r="L209">
        <v>1271897</v>
      </c>
      <c r="M209">
        <v>216</v>
      </c>
      <c r="N209">
        <v>98903</v>
      </c>
      <c r="P209">
        <v>715</v>
      </c>
      <c r="Q209">
        <v>761</v>
      </c>
      <c r="R209">
        <v>3000</v>
      </c>
      <c r="V209" t="s">
        <v>48</v>
      </c>
      <c r="W209" t="s">
        <v>49</v>
      </c>
      <c r="X209" t="s">
        <v>50</v>
      </c>
      <c r="Z209" t="s">
        <v>655</v>
      </c>
      <c r="AC209" t="s">
        <v>530</v>
      </c>
      <c r="AD209" t="s">
        <v>656</v>
      </c>
      <c r="AE209" t="s">
        <v>55</v>
      </c>
      <c r="AF209" t="s">
        <v>56</v>
      </c>
      <c r="AG209">
        <v>34</v>
      </c>
      <c r="AH209">
        <v>0.15160000000000001</v>
      </c>
      <c r="AI209">
        <v>-0.60650000000000004</v>
      </c>
      <c r="AJ209">
        <v>23480</v>
      </c>
      <c r="AK209">
        <v>130</v>
      </c>
      <c r="AL209">
        <v>270</v>
      </c>
      <c r="AM209">
        <v>1387</v>
      </c>
      <c r="AN209" t="s">
        <v>653</v>
      </c>
      <c r="AP209" s="3">
        <v>44415</v>
      </c>
    </row>
    <row r="210" spans="1:42" ht="14.45" hidden="1" customHeight="1" x14ac:dyDescent="0.25">
      <c r="A210" t="s">
        <v>59</v>
      </c>
      <c r="D210" t="s">
        <v>122</v>
      </c>
      <c r="E210" t="s">
        <v>657</v>
      </c>
      <c r="F210" s="1">
        <v>43028</v>
      </c>
      <c r="G210" t="s">
        <v>44</v>
      </c>
      <c r="H210" t="s">
        <v>124</v>
      </c>
      <c r="I210" t="s">
        <v>125</v>
      </c>
      <c r="J210">
        <v>15833</v>
      </c>
      <c r="K210" t="s">
        <v>490</v>
      </c>
      <c r="L210">
        <v>1271898</v>
      </c>
      <c r="M210">
        <v>217</v>
      </c>
      <c r="N210">
        <v>99177</v>
      </c>
      <c r="P210">
        <v>703</v>
      </c>
      <c r="Q210">
        <v>750</v>
      </c>
      <c r="R210">
        <v>2600</v>
      </c>
      <c r="V210" t="s">
        <v>48</v>
      </c>
      <c r="W210" t="s">
        <v>49</v>
      </c>
      <c r="X210" t="s">
        <v>50</v>
      </c>
      <c r="Z210" t="s">
        <v>246</v>
      </c>
      <c r="AC210" t="s">
        <v>530</v>
      </c>
      <c r="AD210" t="s">
        <v>658</v>
      </c>
      <c r="AE210" t="s">
        <v>55</v>
      </c>
      <c r="AF210" t="s">
        <v>56</v>
      </c>
      <c r="AG210">
        <v>34</v>
      </c>
      <c r="AH210">
        <v>0.15160000000000001</v>
      </c>
      <c r="AI210">
        <v>-0.60650000000000004</v>
      </c>
      <c r="AJ210">
        <v>23480</v>
      </c>
      <c r="AK210">
        <v>130</v>
      </c>
      <c r="AL210">
        <v>270</v>
      </c>
      <c r="AM210">
        <v>1387</v>
      </c>
      <c r="AN210" t="s">
        <v>650</v>
      </c>
      <c r="AP210" s="3">
        <v>44415</v>
      </c>
    </row>
    <row r="211" spans="1:42" ht="14.45" hidden="1" customHeight="1" x14ac:dyDescent="0.25">
      <c r="A211" t="s">
        <v>59</v>
      </c>
      <c r="D211" t="s">
        <v>122</v>
      </c>
      <c r="E211" t="s">
        <v>659</v>
      </c>
      <c r="F211" s="1">
        <v>43028</v>
      </c>
      <c r="G211" t="s">
        <v>44</v>
      </c>
      <c r="H211" t="s">
        <v>124</v>
      </c>
      <c r="I211" t="s">
        <v>125</v>
      </c>
      <c r="J211">
        <v>15834</v>
      </c>
      <c r="K211" t="s">
        <v>490</v>
      </c>
      <c r="L211">
        <v>1271899</v>
      </c>
      <c r="M211">
        <v>221</v>
      </c>
      <c r="N211">
        <v>99204</v>
      </c>
      <c r="P211">
        <v>700</v>
      </c>
      <c r="Q211">
        <v>742</v>
      </c>
      <c r="R211">
        <v>2400</v>
      </c>
      <c r="V211" t="s">
        <v>48</v>
      </c>
      <c r="W211" t="s">
        <v>49</v>
      </c>
      <c r="X211" t="s">
        <v>50</v>
      </c>
      <c r="Z211" t="s">
        <v>610</v>
      </c>
      <c r="AC211" t="s">
        <v>530</v>
      </c>
      <c r="AD211" t="s">
        <v>660</v>
      </c>
      <c r="AE211" t="s">
        <v>55</v>
      </c>
      <c r="AF211" t="s">
        <v>56</v>
      </c>
      <c r="AG211">
        <v>34</v>
      </c>
      <c r="AH211">
        <v>0.15160000000000001</v>
      </c>
      <c r="AI211">
        <v>-0.60650000000000004</v>
      </c>
      <c r="AJ211">
        <v>23480</v>
      </c>
      <c r="AK211">
        <v>130</v>
      </c>
      <c r="AL211">
        <v>270</v>
      </c>
      <c r="AM211">
        <v>1387</v>
      </c>
      <c r="AN211" t="s">
        <v>650</v>
      </c>
      <c r="AP211" s="3">
        <v>44415</v>
      </c>
    </row>
    <row r="212" spans="1:42" ht="14.45" hidden="1" customHeight="1" x14ac:dyDescent="0.25">
      <c r="A212" t="s">
        <v>59</v>
      </c>
      <c r="D212" t="s">
        <v>122</v>
      </c>
      <c r="E212" t="s">
        <v>661</v>
      </c>
      <c r="F212" s="1">
        <v>43028</v>
      </c>
      <c r="G212" t="s">
        <v>44</v>
      </c>
      <c r="H212" t="s">
        <v>124</v>
      </c>
      <c r="I212" t="s">
        <v>125</v>
      </c>
      <c r="J212">
        <v>15837</v>
      </c>
      <c r="K212" t="s">
        <v>490</v>
      </c>
      <c r="L212">
        <v>1271902</v>
      </c>
      <c r="M212">
        <v>218</v>
      </c>
      <c r="N212">
        <v>98923</v>
      </c>
      <c r="P212">
        <v>710</v>
      </c>
      <c r="Q212">
        <v>757</v>
      </c>
      <c r="R212">
        <v>2600</v>
      </c>
      <c r="V212" t="s">
        <v>48</v>
      </c>
      <c r="W212" t="s">
        <v>49</v>
      </c>
      <c r="X212" t="s">
        <v>50</v>
      </c>
      <c r="Z212" t="s">
        <v>246</v>
      </c>
      <c r="AC212" t="s">
        <v>530</v>
      </c>
      <c r="AD212" t="s">
        <v>662</v>
      </c>
      <c r="AE212" t="s">
        <v>55</v>
      </c>
      <c r="AF212" t="s">
        <v>56</v>
      </c>
      <c r="AG212">
        <v>34</v>
      </c>
      <c r="AH212">
        <v>0.15160000000000001</v>
      </c>
      <c r="AI212">
        <v>-0.60650000000000004</v>
      </c>
      <c r="AJ212">
        <v>23480</v>
      </c>
      <c r="AK212">
        <v>130</v>
      </c>
      <c r="AL212">
        <v>270</v>
      </c>
      <c r="AM212">
        <v>1387</v>
      </c>
      <c r="AN212" t="s">
        <v>650</v>
      </c>
      <c r="AP212" s="3">
        <v>44415</v>
      </c>
    </row>
    <row r="213" spans="1:42" ht="14.45" hidden="1" customHeight="1" x14ac:dyDescent="0.25">
      <c r="A213" t="s">
        <v>59</v>
      </c>
      <c r="D213" t="s">
        <v>223</v>
      </c>
      <c r="E213" t="s">
        <v>663</v>
      </c>
      <c r="F213" s="1">
        <v>43028</v>
      </c>
      <c r="G213" t="s">
        <v>44</v>
      </c>
      <c r="H213" t="s">
        <v>225</v>
      </c>
      <c r="I213" t="s">
        <v>226</v>
      </c>
      <c r="J213">
        <v>15836</v>
      </c>
      <c r="K213" t="s">
        <v>490</v>
      </c>
      <c r="L213">
        <v>1271901</v>
      </c>
      <c r="M213">
        <v>219</v>
      </c>
      <c r="N213">
        <v>99237</v>
      </c>
      <c r="P213">
        <v>465</v>
      </c>
      <c r="Q213">
        <v>500</v>
      </c>
      <c r="R213">
        <v>1500</v>
      </c>
      <c r="V213" t="s">
        <v>48</v>
      </c>
      <c r="W213" t="s">
        <v>49</v>
      </c>
      <c r="X213" t="s">
        <v>50</v>
      </c>
      <c r="Z213" t="s">
        <v>246</v>
      </c>
      <c r="AC213" t="s">
        <v>530</v>
      </c>
      <c r="AD213" t="s">
        <v>664</v>
      </c>
      <c r="AE213" t="s">
        <v>55</v>
      </c>
      <c r="AF213" t="s">
        <v>56</v>
      </c>
      <c r="AG213">
        <v>34</v>
      </c>
      <c r="AH213">
        <v>0.15160000000000001</v>
      </c>
      <c r="AI213">
        <v>-0.60650000000000004</v>
      </c>
      <c r="AJ213">
        <v>23480</v>
      </c>
      <c r="AK213">
        <v>130</v>
      </c>
      <c r="AL213">
        <v>270</v>
      </c>
      <c r="AM213">
        <v>1387</v>
      </c>
      <c r="AN213" t="s">
        <v>650</v>
      </c>
      <c r="AP213" s="3">
        <v>44415</v>
      </c>
    </row>
    <row r="214" spans="1:42" ht="14.45" hidden="1" customHeight="1" x14ac:dyDescent="0.25">
      <c r="A214" t="s">
        <v>59</v>
      </c>
      <c r="D214" t="s">
        <v>223</v>
      </c>
      <c r="E214" t="s">
        <v>665</v>
      </c>
      <c r="F214" s="1">
        <v>43217</v>
      </c>
      <c r="G214" t="s">
        <v>44</v>
      </c>
      <c r="H214" t="s">
        <v>225</v>
      </c>
      <c r="I214" t="s">
        <v>226</v>
      </c>
      <c r="J214">
        <v>14802</v>
      </c>
      <c r="K214" t="s">
        <v>490</v>
      </c>
      <c r="L214">
        <v>1288838</v>
      </c>
      <c r="M214">
        <v>210</v>
      </c>
      <c r="N214">
        <v>99039</v>
      </c>
      <c r="P214">
        <v>460</v>
      </c>
      <c r="R214">
        <v>1260</v>
      </c>
      <c r="S214" t="s">
        <v>206</v>
      </c>
      <c r="T214" s="4">
        <v>0.15972222222222224</v>
      </c>
      <c r="U214" s="4"/>
      <c r="V214" t="s">
        <v>48</v>
      </c>
      <c r="W214" t="s">
        <v>49</v>
      </c>
      <c r="X214" t="s">
        <v>50</v>
      </c>
      <c r="Z214" t="s">
        <v>666</v>
      </c>
      <c r="AA214">
        <v>43.279780000000002</v>
      </c>
      <c r="AB214">
        <v>-79.893590000000003</v>
      </c>
      <c r="AC214" t="s">
        <v>666</v>
      </c>
      <c r="AD214" t="s">
        <v>667</v>
      </c>
      <c r="AE214" t="s">
        <v>55</v>
      </c>
      <c r="AF214" t="s">
        <v>56</v>
      </c>
      <c r="AG214">
        <v>34</v>
      </c>
      <c r="AH214">
        <v>0.15160000000000001</v>
      </c>
      <c r="AI214">
        <v>-0.60650000000000004</v>
      </c>
      <c r="AJ214">
        <v>24936</v>
      </c>
      <c r="AK214">
        <v>130</v>
      </c>
      <c r="AL214">
        <v>270</v>
      </c>
      <c r="AM214">
        <v>1387</v>
      </c>
      <c r="AN214" t="s">
        <v>653</v>
      </c>
      <c r="AP214" s="3">
        <v>44604</v>
      </c>
    </row>
    <row r="215" spans="1:42" ht="14.45" hidden="1" customHeight="1" x14ac:dyDescent="0.25">
      <c r="A215" t="s">
        <v>59</v>
      </c>
      <c r="D215" t="s">
        <v>223</v>
      </c>
      <c r="E215" t="s">
        <v>668</v>
      </c>
      <c r="F215" s="1">
        <v>43217</v>
      </c>
      <c r="G215" t="s">
        <v>44</v>
      </c>
      <c r="H215" t="s">
        <v>225</v>
      </c>
      <c r="I215" t="s">
        <v>226</v>
      </c>
      <c r="J215">
        <v>14803</v>
      </c>
      <c r="K215" t="s">
        <v>490</v>
      </c>
      <c r="L215">
        <v>1288839</v>
      </c>
      <c r="M215">
        <v>101</v>
      </c>
      <c r="N215">
        <v>98905</v>
      </c>
      <c r="P215">
        <v>428</v>
      </c>
      <c r="R215">
        <v>970</v>
      </c>
      <c r="T215" s="4">
        <v>0.1388888888888889</v>
      </c>
      <c r="U215" s="4"/>
      <c r="V215" t="s">
        <v>48</v>
      </c>
      <c r="W215" t="s">
        <v>49</v>
      </c>
      <c r="X215" t="s">
        <v>50</v>
      </c>
      <c r="Z215" t="s">
        <v>666</v>
      </c>
      <c r="AA215">
        <v>43.279780000000002</v>
      </c>
      <c r="AB215">
        <v>-79.893590000000003</v>
      </c>
      <c r="AC215" t="s">
        <v>666</v>
      </c>
      <c r="AD215" t="s">
        <v>669</v>
      </c>
      <c r="AE215" t="s">
        <v>55</v>
      </c>
      <c r="AF215" t="s">
        <v>56</v>
      </c>
      <c r="AG215">
        <v>34</v>
      </c>
      <c r="AH215">
        <v>0.15160000000000001</v>
      </c>
      <c r="AI215">
        <v>-0.60650000000000004</v>
      </c>
      <c r="AJ215">
        <v>24936</v>
      </c>
      <c r="AK215">
        <v>130</v>
      </c>
      <c r="AL215">
        <v>270</v>
      </c>
      <c r="AM215">
        <v>1387</v>
      </c>
      <c r="AN215" t="s">
        <v>653</v>
      </c>
      <c r="AP215" s="3">
        <v>44604</v>
      </c>
    </row>
    <row r="216" spans="1:42" ht="14.45" hidden="1" customHeight="1" x14ac:dyDescent="0.25">
      <c r="A216" t="s">
        <v>59</v>
      </c>
      <c r="D216" t="s">
        <v>223</v>
      </c>
      <c r="E216" t="s">
        <v>670</v>
      </c>
      <c r="F216" s="1">
        <v>43217</v>
      </c>
      <c r="G216" t="s">
        <v>44</v>
      </c>
      <c r="H216" t="s">
        <v>225</v>
      </c>
      <c r="I216" t="s">
        <v>226</v>
      </c>
      <c r="J216">
        <v>14799</v>
      </c>
      <c r="K216" t="s">
        <v>490</v>
      </c>
      <c r="L216">
        <v>1288835</v>
      </c>
      <c r="M216">
        <v>102</v>
      </c>
      <c r="N216">
        <v>99228</v>
      </c>
      <c r="P216">
        <v>408</v>
      </c>
      <c r="R216">
        <v>840</v>
      </c>
      <c r="T216" s="4">
        <v>0.14930555555555555</v>
      </c>
      <c r="U216" s="4"/>
      <c r="V216" t="s">
        <v>48</v>
      </c>
      <c r="W216" t="s">
        <v>49</v>
      </c>
      <c r="X216" t="s">
        <v>50</v>
      </c>
      <c r="Z216" t="s">
        <v>666</v>
      </c>
      <c r="AA216">
        <v>43.279780000000002</v>
      </c>
      <c r="AB216">
        <v>-79.893590000000003</v>
      </c>
      <c r="AC216" t="s">
        <v>666</v>
      </c>
      <c r="AD216" t="s">
        <v>671</v>
      </c>
      <c r="AE216" t="s">
        <v>55</v>
      </c>
      <c r="AF216" t="s">
        <v>56</v>
      </c>
      <c r="AG216">
        <v>34</v>
      </c>
      <c r="AH216">
        <v>0.15160000000000001</v>
      </c>
      <c r="AI216">
        <v>-0.60650000000000004</v>
      </c>
      <c r="AJ216">
        <v>24936</v>
      </c>
      <c r="AK216">
        <v>130</v>
      </c>
      <c r="AL216">
        <v>270</v>
      </c>
      <c r="AM216">
        <v>1387</v>
      </c>
      <c r="AN216" t="s">
        <v>653</v>
      </c>
      <c r="AP216" s="3">
        <v>44604</v>
      </c>
    </row>
    <row r="217" spans="1:42" ht="14.45" hidden="1" customHeight="1" x14ac:dyDescent="0.25">
      <c r="A217" t="s">
        <v>59</v>
      </c>
      <c r="D217" t="s">
        <v>223</v>
      </c>
      <c r="E217" t="s">
        <v>672</v>
      </c>
      <c r="F217" s="1">
        <v>43217</v>
      </c>
      <c r="G217" t="s">
        <v>44</v>
      </c>
      <c r="H217" t="s">
        <v>225</v>
      </c>
      <c r="I217" t="s">
        <v>226</v>
      </c>
      <c r="J217">
        <v>14794</v>
      </c>
      <c r="K217" t="s">
        <v>490</v>
      </c>
      <c r="L217">
        <v>1289849</v>
      </c>
      <c r="M217">
        <v>103</v>
      </c>
      <c r="N217">
        <v>98974</v>
      </c>
      <c r="P217">
        <v>415</v>
      </c>
      <c r="R217">
        <v>810</v>
      </c>
      <c r="T217" s="4">
        <v>0.1875</v>
      </c>
      <c r="U217" s="4"/>
      <c r="V217" t="s">
        <v>48</v>
      </c>
      <c r="W217" t="s">
        <v>49</v>
      </c>
      <c r="X217" t="s">
        <v>50</v>
      </c>
      <c r="Z217" t="s">
        <v>666</v>
      </c>
      <c r="AA217">
        <v>43.279780000000002</v>
      </c>
      <c r="AB217">
        <v>-79.893590000000003</v>
      </c>
      <c r="AC217" t="s">
        <v>666</v>
      </c>
      <c r="AD217" t="s">
        <v>673</v>
      </c>
      <c r="AE217" t="s">
        <v>55</v>
      </c>
      <c r="AF217" t="s">
        <v>56</v>
      </c>
      <c r="AG217">
        <v>34</v>
      </c>
      <c r="AH217">
        <v>0.15160000000000001</v>
      </c>
      <c r="AI217">
        <v>-0.60650000000000004</v>
      </c>
      <c r="AJ217">
        <v>24930</v>
      </c>
      <c r="AK217">
        <v>130</v>
      </c>
      <c r="AL217">
        <v>270</v>
      </c>
      <c r="AM217">
        <v>1387</v>
      </c>
      <c r="AN217" t="s">
        <v>653</v>
      </c>
      <c r="AP217" s="3">
        <v>44604</v>
      </c>
    </row>
    <row r="218" spans="1:42" ht="14.45" hidden="1" customHeight="1" x14ac:dyDescent="0.25">
      <c r="A218" t="s">
        <v>59</v>
      </c>
      <c r="D218" t="s">
        <v>223</v>
      </c>
      <c r="E218" t="s">
        <v>674</v>
      </c>
      <c r="F218" s="1">
        <v>43231</v>
      </c>
      <c r="G218" t="s">
        <v>44</v>
      </c>
      <c r="H218" t="s">
        <v>225</v>
      </c>
      <c r="I218" t="s">
        <v>226</v>
      </c>
      <c r="J218">
        <v>14805</v>
      </c>
      <c r="K218" t="s">
        <v>490</v>
      </c>
      <c r="L218">
        <v>1288841</v>
      </c>
      <c r="M218">
        <v>104</v>
      </c>
      <c r="N218">
        <v>99154</v>
      </c>
      <c r="P218">
        <v>465</v>
      </c>
      <c r="R218">
        <v>1160</v>
      </c>
      <c r="S218" t="s">
        <v>206</v>
      </c>
      <c r="V218" t="s">
        <v>48</v>
      </c>
      <c r="W218" t="s">
        <v>49</v>
      </c>
      <c r="X218" t="s">
        <v>50</v>
      </c>
      <c r="Z218" t="s">
        <v>666</v>
      </c>
      <c r="AA218">
        <v>43.279780000000002</v>
      </c>
      <c r="AB218">
        <v>-79.893590000000003</v>
      </c>
      <c r="AC218" t="s">
        <v>666</v>
      </c>
      <c r="AD218" t="s">
        <v>675</v>
      </c>
      <c r="AE218" t="s">
        <v>55</v>
      </c>
      <c r="AF218" t="s">
        <v>56</v>
      </c>
      <c r="AG218">
        <v>34</v>
      </c>
      <c r="AH218">
        <v>0.15160000000000001</v>
      </c>
      <c r="AI218">
        <v>-0.60650000000000004</v>
      </c>
      <c r="AJ218">
        <v>24936</v>
      </c>
      <c r="AK218">
        <v>130</v>
      </c>
      <c r="AL218">
        <v>270</v>
      </c>
      <c r="AM218">
        <v>1387</v>
      </c>
      <c r="AN218" t="s">
        <v>606</v>
      </c>
      <c r="AP218" s="3">
        <v>44618</v>
      </c>
    </row>
    <row r="219" spans="1:42" ht="14.45" hidden="1" customHeight="1" x14ac:dyDescent="0.25">
      <c r="A219" t="s">
        <v>59</v>
      </c>
      <c r="D219" t="s">
        <v>223</v>
      </c>
      <c r="E219" t="s">
        <v>676</v>
      </c>
      <c r="F219" s="1">
        <v>43231</v>
      </c>
      <c r="G219" t="s">
        <v>44</v>
      </c>
      <c r="H219" t="s">
        <v>225</v>
      </c>
      <c r="I219" t="s">
        <v>226</v>
      </c>
      <c r="J219">
        <v>14798</v>
      </c>
      <c r="K219" t="s">
        <v>490</v>
      </c>
      <c r="L219">
        <v>1289853</v>
      </c>
      <c r="M219">
        <v>105</v>
      </c>
      <c r="N219">
        <v>99220</v>
      </c>
      <c r="P219">
        <v>495</v>
      </c>
      <c r="R219">
        <v>1260</v>
      </c>
      <c r="S219" t="s">
        <v>206</v>
      </c>
      <c r="T219" s="4">
        <v>0.18541666666666667</v>
      </c>
      <c r="U219" s="4"/>
      <c r="V219" t="s">
        <v>48</v>
      </c>
      <c r="W219" t="s">
        <v>49</v>
      </c>
      <c r="X219" t="s">
        <v>50</v>
      </c>
      <c r="Z219" t="s">
        <v>666</v>
      </c>
      <c r="AA219">
        <v>43.279780000000002</v>
      </c>
      <c r="AB219">
        <v>-79.893590000000003</v>
      </c>
      <c r="AC219" t="s">
        <v>666</v>
      </c>
      <c r="AD219" t="s">
        <v>677</v>
      </c>
      <c r="AE219" t="s">
        <v>55</v>
      </c>
      <c r="AF219" t="s">
        <v>56</v>
      </c>
      <c r="AG219">
        <v>34</v>
      </c>
      <c r="AH219">
        <v>0.15160000000000001</v>
      </c>
      <c r="AI219">
        <v>-0.60650000000000004</v>
      </c>
      <c r="AJ219">
        <v>24930</v>
      </c>
      <c r="AK219">
        <v>130</v>
      </c>
      <c r="AL219">
        <v>270</v>
      </c>
      <c r="AM219">
        <v>1387</v>
      </c>
      <c r="AN219" t="s">
        <v>606</v>
      </c>
      <c r="AP219" s="3">
        <v>44618</v>
      </c>
    </row>
    <row r="220" spans="1:42" ht="14.45" hidden="1" customHeight="1" x14ac:dyDescent="0.25">
      <c r="A220" t="s">
        <v>59</v>
      </c>
      <c r="D220" t="s">
        <v>223</v>
      </c>
      <c r="E220" t="s">
        <v>678</v>
      </c>
      <c r="F220" s="1">
        <v>43231</v>
      </c>
      <c r="G220" t="s">
        <v>44</v>
      </c>
      <c r="H220" t="s">
        <v>225</v>
      </c>
      <c r="I220" t="s">
        <v>226</v>
      </c>
      <c r="J220">
        <v>14806</v>
      </c>
      <c r="K220" t="s">
        <v>490</v>
      </c>
      <c r="L220">
        <v>1288842</v>
      </c>
      <c r="M220">
        <v>106</v>
      </c>
      <c r="N220">
        <v>99045</v>
      </c>
      <c r="P220">
        <v>435</v>
      </c>
      <c r="R220">
        <v>950</v>
      </c>
      <c r="S220" t="s">
        <v>202</v>
      </c>
      <c r="T220" s="4">
        <v>0.18611111111111112</v>
      </c>
      <c r="U220" s="4"/>
      <c r="V220" t="s">
        <v>48</v>
      </c>
      <c r="W220" t="s">
        <v>49</v>
      </c>
      <c r="X220" t="s">
        <v>50</v>
      </c>
      <c r="Z220" t="s">
        <v>666</v>
      </c>
      <c r="AA220">
        <v>43.279780000000002</v>
      </c>
      <c r="AB220">
        <v>-79.893590000000003</v>
      </c>
      <c r="AC220" t="s">
        <v>666</v>
      </c>
      <c r="AD220" t="s">
        <v>679</v>
      </c>
      <c r="AE220" t="s">
        <v>55</v>
      </c>
      <c r="AF220" t="s">
        <v>56</v>
      </c>
      <c r="AG220">
        <v>34</v>
      </c>
      <c r="AH220">
        <v>0.15160000000000001</v>
      </c>
      <c r="AI220">
        <v>-0.60650000000000004</v>
      </c>
      <c r="AJ220">
        <v>24936</v>
      </c>
      <c r="AK220">
        <v>130</v>
      </c>
      <c r="AL220">
        <v>270</v>
      </c>
      <c r="AM220">
        <v>1387</v>
      </c>
      <c r="AN220" t="s">
        <v>606</v>
      </c>
      <c r="AP220" s="3">
        <v>44618</v>
      </c>
    </row>
    <row r="221" spans="1:42" ht="14.45" hidden="1" customHeight="1" x14ac:dyDescent="0.25">
      <c r="A221" t="s">
        <v>59</v>
      </c>
      <c r="D221" t="s">
        <v>223</v>
      </c>
      <c r="E221" t="s">
        <v>680</v>
      </c>
      <c r="F221" s="1">
        <v>43231</v>
      </c>
      <c r="G221" t="s">
        <v>44</v>
      </c>
      <c r="H221" t="s">
        <v>225</v>
      </c>
      <c r="I221" t="s">
        <v>226</v>
      </c>
      <c r="J221">
        <v>14804</v>
      </c>
      <c r="K221" t="s">
        <v>490</v>
      </c>
      <c r="L221">
        <v>1288840</v>
      </c>
      <c r="M221">
        <v>107</v>
      </c>
      <c r="N221">
        <v>99370</v>
      </c>
      <c r="P221">
        <v>479</v>
      </c>
      <c r="R221">
        <v>1150</v>
      </c>
      <c r="S221" t="s">
        <v>206</v>
      </c>
      <c r="T221" s="4">
        <v>0.15902777777777777</v>
      </c>
      <c r="U221" s="4"/>
      <c r="V221" t="s">
        <v>48</v>
      </c>
      <c r="W221" t="s">
        <v>49</v>
      </c>
      <c r="X221" t="s">
        <v>50</v>
      </c>
      <c r="Z221" t="s">
        <v>666</v>
      </c>
      <c r="AA221">
        <v>43.279780000000002</v>
      </c>
      <c r="AB221">
        <v>-79.893590000000003</v>
      </c>
      <c r="AC221" t="s">
        <v>666</v>
      </c>
      <c r="AD221" t="s">
        <v>681</v>
      </c>
      <c r="AE221" t="s">
        <v>55</v>
      </c>
      <c r="AF221" t="s">
        <v>56</v>
      </c>
      <c r="AG221">
        <v>34</v>
      </c>
      <c r="AH221">
        <v>0.15160000000000001</v>
      </c>
      <c r="AI221">
        <v>-0.60650000000000004</v>
      </c>
      <c r="AJ221">
        <v>24936</v>
      </c>
      <c r="AK221">
        <v>130</v>
      </c>
      <c r="AL221">
        <v>270</v>
      </c>
      <c r="AM221">
        <v>1387</v>
      </c>
      <c r="AN221" t="s">
        <v>606</v>
      </c>
      <c r="AP221" s="3">
        <v>44618</v>
      </c>
    </row>
    <row r="222" spans="1:42" ht="14.45" hidden="1" customHeight="1" x14ac:dyDescent="0.25">
      <c r="A222" t="s">
        <v>59</v>
      </c>
      <c r="D222" t="s">
        <v>223</v>
      </c>
      <c r="E222" t="s">
        <v>682</v>
      </c>
      <c r="F222" s="1">
        <v>43242</v>
      </c>
      <c r="G222" t="s">
        <v>44</v>
      </c>
      <c r="H222" t="s">
        <v>225</v>
      </c>
      <c r="I222" t="s">
        <v>226</v>
      </c>
      <c r="J222">
        <v>14524</v>
      </c>
      <c r="K222" t="s">
        <v>490</v>
      </c>
      <c r="L222">
        <v>1295460</v>
      </c>
      <c r="M222">
        <v>108</v>
      </c>
      <c r="N222">
        <v>99120</v>
      </c>
      <c r="P222">
        <v>472</v>
      </c>
      <c r="Q222">
        <v>512</v>
      </c>
      <c r="R222">
        <v>1300</v>
      </c>
      <c r="T222" s="4">
        <v>0.15972222222222224</v>
      </c>
      <c r="U222" s="4"/>
      <c r="V222" t="s">
        <v>48</v>
      </c>
      <c r="W222" t="s">
        <v>49</v>
      </c>
      <c r="X222" t="s">
        <v>50</v>
      </c>
      <c r="Z222" t="s">
        <v>683</v>
      </c>
      <c r="AA222">
        <v>43.300870959999997</v>
      </c>
      <c r="AB222">
        <v>-79.803702790000003</v>
      </c>
      <c r="AC222" t="s">
        <v>684</v>
      </c>
      <c r="AD222" t="s">
        <v>685</v>
      </c>
      <c r="AE222" t="s">
        <v>55</v>
      </c>
      <c r="AF222" t="s">
        <v>56</v>
      </c>
      <c r="AG222">
        <v>34</v>
      </c>
      <c r="AH222">
        <v>0.15160000000000001</v>
      </c>
      <c r="AI222">
        <v>-0.60650000000000004</v>
      </c>
      <c r="AJ222">
        <v>25438</v>
      </c>
      <c r="AK222">
        <v>130</v>
      </c>
      <c r="AL222">
        <v>270</v>
      </c>
      <c r="AM222">
        <v>1387</v>
      </c>
      <c r="AN222" t="s">
        <v>606</v>
      </c>
      <c r="AP222" s="3">
        <v>44629</v>
      </c>
    </row>
    <row r="223" spans="1:42" ht="14.45" hidden="1" customHeight="1" x14ac:dyDescent="0.25">
      <c r="A223" t="s">
        <v>59</v>
      </c>
      <c r="D223" t="s">
        <v>613</v>
      </c>
      <c r="E223" t="s">
        <v>686</v>
      </c>
      <c r="F223" s="1">
        <v>43243</v>
      </c>
      <c r="G223" t="s">
        <v>44</v>
      </c>
      <c r="H223" t="s">
        <v>615</v>
      </c>
      <c r="I223" t="s">
        <v>616</v>
      </c>
      <c r="J223">
        <v>14525</v>
      </c>
      <c r="K223" t="s">
        <v>490</v>
      </c>
      <c r="L223">
        <v>1295461</v>
      </c>
      <c r="M223">
        <v>109</v>
      </c>
      <c r="N223">
        <v>99138</v>
      </c>
      <c r="P223">
        <v>570</v>
      </c>
      <c r="R223">
        <v>5200</v>
      </c>
      <c r="S223" t="s">
        <v>206</v>
      </c>
      <c r="T223" s="4">
        <v>0.20833333333333334</v>
      </c>
      <c r="U223" s="4"/>
      <c r="V223" t="s">
        <v>48</v>
      </c>
      <c r="W223" t="s">
        <v>49</v>
      </c>
      <c r="X223" t="s">
        <v>50</v>
      </c>
      <c r="Z223" t="s">
        <v>687</v>
      </c>
      <c r="AA223">
        <v>43.271954319999999</v>
      </c>
      <c r="AB223">
        <v>-79.883596999999995</v>
      </c>
      <c r="AC223" t="s">
        <v>684</v>
      </c>
      <c r="AD223" t="s">
        <v>688</v>
      </c>
      <c r="AE223" t="s">
        <v>55</v>
      </c>
      <c r="AF223" t="s">
        <v>56</v>
      </c>
      <c r="AG223">
        <v>34</v>
      </c>
      <c r="AH223">
        <v>0.15160000000000001</v>
      </c>
      <c r="AI223">
        <v>-0.60650000000000004</v>
      </c>
      <c r="AJ223">
        <v>25438</v>
      </c>
      <c r="AK223">
        <v>130</v>
      </c>
      <c r="AL223">
        <v>270</v>
      </c>
      <c r="AM223">
        <v>1387</v>
      </c>
      <c r="AN223" t="s">
        <v>606</v>
      </c>
      <c r="AP223" s="3">
        <v>44630</v>
      </c>
    </row>
    <row r="224" spans="1:42" hidden="1" x14ac:dyDescent="0.25">
      <c r="A224" t="s">
        <v>59</v>
      </c>
      <c r="D224" t="s">
        <v>43</v>
      </c>
      <c r="E224" t="s">
        <v>689</v>
      </c>
      <c r="F224" s="1">
        <v>43243</v>
      </c>
      <c r="G224" t="s">
        <v>44</v>
      </c>
      <c r="H224" t="s">
        <v>45</v>
      </c>
      <c r="I224" t="s">
        <v>46</v>
      </c>
      <c r="J224">
        <v>14519</v>
      </c>
      <c r="K224" t="s">
        <v>490</v>
      </c>
      <c r="L224">
        <v>1295455</v>
      </c>
      <c r="M224">
        <v>110</v>
      </c>
      <c r="N224">
        <v>99006</v>
      </c>
      <c r="P224">
        <v>560</v>
      </c>
      <c r="Q224">
        <v>590</v>
      </c>
      <c r="R224">
        <v>2100</v>
      </c>
      <c r="T224" s="4">
        <v>0.24305555555555555</v>
      </c>
      <c r="U224" s="4"/>
      <c r="V224" t="s">
        <v>48</v>
      </c>
      <c r="W224" t="s">
        <v>49</v>
      </c>
      <c r="X224" t="s">
        <v>50</v>
      </c>
      <c r="Z224" t="s">
        <v>690</v>
      </c>
      <c r="AA224">
        <v>43.272544320000002</v>
      </c>
      <c r="AB224">
        <v>-79.884485229999996</v>
      </c>
      <c r="AC224" t="s">
        <v>684</v>
      </c>
      <c r="AD224" t="s">
        <v>691</v>
      </c>
      <c r="AE224" t="s">
        <v>55</v>
      </c>
      <c r="AF224" t="s">
        <v>56</v>
      </c>
      <c r="AG224">
        <v>34</v>
      </c>
      <c r="AH224">
        <v>0.15160000000000001</v>
      </c>
      <c r="AI224">
        <v>-0.60650000000000004</v>
      </c>
      <c r="AJ224">
        <v>25438</v>
      </c>
      <c r="AK224">
        <v>130</v>
      </c>
      <c r="AL224">
        <v>270</v>
      </c>
      <c r="AM224">
        <v>1387</v>
      </c>
      <c r="AN224" t="s">
        <v>606</v>
      </c>
      <c r="AP224" s="3">
        <v>44630</v>
      </c>
    </row>
    <row r="225" spans="1:42" ht="14.45" hidden="1" customHeight="1" x14ac:dyDescent="0.25">
      <c r="A225" t="s">
        <v>59</v>
      </c>
      <c r="D225" t="s">
        <v>692</v>
      </c>
      <c r="E225" t="s">
        <v>693</v>
      </c>
      <c r="F225" s="1">
        <v>43243</v>
      </c>
      <c r="G225" t="s">
        <v>44</v>
      </c>
      <c r="H225" t="s">
        <v>129</v>
      </c>
      <c r="I225" t="s">
        <v>130</v>
      </c>
      <c r="J225">
        <v>14807</v>
      </c>
      <c r="K225" t="s">
        <v>490</v>
      </c>
      <c r="L225">
        <v>1288843</v>
      </c>
      <c r="M225">
        <v>111</v>
      </c>
      <c r="N225">
        <v>98979</v>
      </c>
      <c r="P225">
        <v>380</v>
      </c>
      <c r="Q225">
        <v>400</v>
      </c>
      <c r="R225">
        <v>1070</v>
      </c>
      <c r="T225" s="4">
        <v>0.16666666666666666</v>
      </c>
      <c r="U225" s="4"/>
      <c r="V225" t="s">
        <v>48</v>
      </c>
      <c r="W225" t="s">
        <v>49</v>
      </c>
      <c r="X225" t="s">
        <v>50</v>
      </c>
      <c r="Z225" t="s">
        <v>694</v>
      </c>
      <c r="AA225">
        <v>43.270297890000002</v>
      </c>
      <c r="AB225">
        <v>-79.876261999999997</v>
      </c>
      <c r="AC225" t="s">
        <v>684</v>
      </c>
      <c r="AD225" t="s">
        <v>695</v>
      </c>
      <c r="AE225" t="s">
        <v>55</v>
      </c>
      <c r="AF225" t="s">
        <v>56</v>
      </c>
      <c r="AG225">
        <v>34</v>
      </c>
      <c r="AH225">
        <v>0.15160000000000001</v>
      </c>
      <c r="AI225">
        <v>-0.60650000000000004</v>
      </c>
      <c r="AJ225">
        <v>24936</v>
      </c>
      <c r="AK225">
        <v>130</v>
      </c>
      <c r="AL225">
        <v>270</v>
      </c>
      <c r="AM225">
        <v>1387</v>
      </c>
      <c r="AN225" t="s">
        <v>606</v>
      </c>
      <c r="AP225" s="3">
        <v>44630</v>
      </c>
    </row>
    <row r="226" spans="1:42" ht="14.45" hidden="1" customHeight="1" x14ac:dyDescent="0.25">
      <c r="A226" t="s">
        <v>59</v>
      </c>
      <c r="D226" t="s">
        <v>613</v>
      </c>
      <c r="E226" t="s">
        <v>696</v>
      </c>
      <c r="F226" s="1">
        <v>43244</v>
      </c>
      <c r="G226" t="s">
        <v>44</v>
      </c>
      <c r="H226" t="s">
        <v>615</v>
      </c>
      <c r="I226" t="s">
        <v>616</v>
      </c>
      <c r="J226">
        <v>14515</v>
      </c>
      <c r="K226" t="s">
        <v>490</v>
      </c>
      <c r="L226">
        <v>1295451</v>
      </c>
      <c r="M226">
        <v>119</v>
      </c>
      <c r="N226">
        <v>99140</v>
      </c>
      <c r="P226">
        <v>398</v>
      </c>
      <c r="Q226">
        <v>445</v>
      </c>
      <c r="R226">
        <v>1330</v>
      </c>
      <c r="T226" s="4">
        <v>0.1875</v>
      </c>
      <c r="U226" s="4"/>
      <c r="V226" t="s">
        <v>48</v>
      </c>
      <c r="W226" t="s">
        <v>49</v>
      </c>
      <c r="X226" t="s">
        <v>50</v>
      </c>
      <c r="Z226" t="s">
        <v>697</v>
      </c>
      <c r="AA226">
        <v>43.275247489999998</v>
      </c>
      <c r="AB226">
        <v>-79.868512839999994</v>
      </c>
      <c r="AC226" t="s">
        <v>684</v>
      </c>
      <c r="AD226" t="s">
        <v>698</v>
      </c>
      <c r="AE226" t="s">
        <v>55</v>
      </c>
      <c r="AF226" t="s">
        <v>56</v>
      </c>
      <c r="AG226">
        <v>34</v>
      </c>
      <c r="AH226">
        <v>0.15160000000000001</v>
      </c>
      <c r="AI226">
        <v>-0.60650000000000004</v>
      </c>
      <c r="AJ226">
        <v>25438</v>
      </c>
      <c r="AK226">
        <v>130</v>
      </c>
      <c r="AL226">
        <v>270</v>
      </c>
      <c r="AM226">
        <v>1387</v>
      </c>
      <c r="AN226" t="s">
        <v>699</v>
      </c>
      <c r="AP226" s="3">
        <v>44631</v>
      </c>
    </row>
    <row r="227" spans="1:42" ht="14.45" hidden="1" customHeight="1" x14ac:dyDescent="0.25">
      <c r="A227" t="s">
        <v>59</v>
      </c>
      <c r="D227" t="s">
        <v>613</v>
      </c>
      <c r="E227" t="s">
        <v>700</v>
      </c>
      <c r="F227" s="1">
        <v>43244</v>
      </c>
      <c r="G227" t="s">
        <v>44</v>
      </c>
      <c r="H227" t="s">
        <v>615</v>
      </c>
      <c r="I227" t="s">
        <v>616</v>
      </c>
      <c r="J227">
        <v>14509</v>
      </c>
      <c r="K227" t="s">
        <v>490</v>
      </c>
      <c r="L227">
        <v>1295445</v>
      </c>
      <c r="M227">
        <v>120</v>
      </c>
      <c r="N227">
        <v>99139</v>
      </c>
      <c r="P227">
        <v>589</v>
      </c>
      <c r="Q227">
        <v>660</v>
      </c>
      <c r="R227">
        <v>4400</v>
      </c>
      <c r="T227" s="4">
        <v>0.23958333333333334</v>
      </c>
      <c r="U227" s="4"/>
      <c r="V227" t="s">
        <v>48</v>
      </c>
      <c r="W227" t="s">
        <v>49</v>
      </c>
      <c r="X227" t="s">
        <v>50</v>
      </c>
      <c r="Z227" t="s">
        <v>697</v>
      </c>
      <c r="AA227">
        <v>43.275247489999998</v>
      </c>
      <c r="AB227">
        <v>-79.868512839999994</v>
      </c>
      <c r="AC227" t="s">
        <v>684</v>
      </c>
      <c r="AD227" t="s">
        <v>701</v>
      </c>
      <c r="AE227" t="s">
        <v>55</v>
      </c>
      <c r="AF227" t="s">
        <v>56</v>
      </c>
      <c r="AG227">
        <v>34</v>
      </c>
      <c r="AH227">
        <v>0.15160000000000001</v>
      </c>
      <c r="AI227">
        <v>-0.60650000000000004</v>
      </c>
      <c r="AJ227">
        <v>25438</v>
      </c>
      <c r="AK227">
        <v>130</v>
      </c>
      <c r="AL227">
        <v>270</v>
      </c>
      <c r="AM227">
        <v>1387</v>
      </c>
      <c r="AN227" t="s">
        <v>702</v>
      </c>
      <c r="AP227" s="3">
        <v>44631</v>
      </c>
    </row>
    <row r="228" spans="1:42" ht="14.45" hidden="1" customHeight="1" x14ac:dyDescent="0.25">
      <c r="A228" t="s">
        <v>59</v>
      </c>
      <c r="D228" t="s">
        <v>551</v>
      </c>
      <c r="E228" t="s">
        <v>703</v>
      </c>
      <c r="F228" s="1">
        <v>43244</v>
      </c>
      <c r="G228" t="s">
        <v>44</v>
      </c>
      <c r="H228" t="s">
        <v>553</v>
      </c>
      <c r="I228" t="s">
        <v>554</v>
      </c>
      <c r="J228">
        <v>14510</v>
      </c>
      <c r="K228" t="s">
        <v>490</v>
      </c>
      <c r="L228">
        <v>1295440</v>
      </c>
      <c r="M228">
        <v>121</v>
      </c>
      <c r="N228">
        <v>99342</v>
      </c>
      <c r="P228">
        <v>295</v>
      </c>
      <c r="Q228">
        <v>330</v>
      </c>
      <c r="R228">
        <v>970</v>
      </c>
      <c r="T228" s="4">
        <v>0.22916666666666666</v>
      </c>
      <c r="U228" s="4"/>
      <c r="V228" t="s">
        <v>48</v>
      </c>
      <c r="W228" t="s">
        <v>49</v>
      </c>
      <c r="X228" t="s">
        <v>50</v>
      </c>
      <c r="Z228" t="s">
        <v>697</v>
      </c>
      <c r="AA228">
        <v>43.275247489999998</v>
      </c>
      <c r="AB228">
        <v>-79.868512839999994</v>
      </c>
      <c r="AC228" t="s">
        <v>684</v>
      </c>
      <c r="AD228" t="s">
        <v>704</v>
      </c>
      <c r="AE228" t="s">
        <v>55</v>
      </c>
      <c r="AF228" t="s">
        <v>56</v>
      </c>
      <c r="AG228">
        <v>34</v>
      </c>
      <c r="AH228">
        <v>0.15160000000000001</v>
      </c>
      <c r="AI228">
        <v>-0.60650000000000004</v>
      </c>
      <c r="AJ228">
        <v>25438</v>
      </c>
      <c r="AK228">
        <v>130</v>
      </c>
      <c r="AL228">
        <v>270</v>
      </c>
      <c r="AM228">
        <v>1387</v>
      </c>
      <c r="AN228" t="s">
        <v>606</v>
      </c>
      <c r="AP228" s="3">
        <v>44631</v>
      </c>
    </row>
    <row r="229" spans="1:42" ht="14.45" hidden="1" customHeight="1" x14ac:dyDescent="0.25">
      <c r="A229" t="s">
        <v>59</v>
      </c>
      <c r="D229" t="s">
        <v>613</v>
      </c>
      <c r="E229" t="s">
        <v>705</v>
      </c>
      <c r="F229" s="1">
        <v>43244</v>
      </c>
      <c r="G229" t="s">
        <v>44</v>
      </c>
      <c r="H229" t="s">
        <v>615</v>
      </c>
      <c r="I229" t="s">
        <v>616</v>
      </c>
      <c r="J229">
        <v>14511</v>
      </c>
      <c r="K229" t="s">
        <v>490</v>
      </c>
      <c r="L229">
        <v>1295447</v>
      </c>
      <c r="M229">
        <v>122</v>
      </c>
      <c r="P229">
        <v>570</v>
      </c>
      <c r="Q229">
        <v>650</v>
      </c>
      <c r="R229">
        <v>4810</v>
      </c>
      <c r="T229" s="4">
        <v>0.20833333333333334</v>
      </c>
      <c r="U229" s="4"/>
      <c r="V229" t="s">
        <v>48</v>
      </c>
      <c r="W229" t="s">
        <v>49</v>
      </c>
      <c r="X229" t="s">
        <v>50</v>
      </c>
      <c r="Z229" t="s">
        <v>706</v>
      </c>
      <c r="AA229">
        <v>43.271906209999997</v>
      </c>
      <c r="AB229">
        <v>-79.869970870000003</v>
      </c>
      <c r="AC229" t="s">
        <v>684</v>
      </c>
      <c r="AD229" t="s">
        <v>707</v>
      </c>
      <c r="AE229" t="s">
        <v>55</v>
      </c>
      <c r="AF229" t="s">
        <v>56</v>
      </c>
      <c r="AG229">
        <v>34</v>
      </c>
      <c r="AH229">
        <v>0.15160000000000001</v>
      </c>
      <c r="AI229">
        <v>-0.60650000000000004</v>
      </c>
      <c r="AJ229">
        <v>25438</v>
      </c>
      <c r="AK229">
        <v>130</v>
      </c>
      <c r="AL229">
        <v>270</v>
      </c>
      <c r="AM229">
        <v>1387</v>
      </c>
      <c r="AN229" t="s">
        <v>708</v>
      </c>
      <c r="AP229" s="3">
        <v>44631</v>
      </c>
    </row>
    <row r="230" spans="1:42" ht="14.45" hidden="1" customHeight="1" x14ac:dyDescent="0.25">
      <c r="A230" t="s">
        <v>59</v>
      </c>
      <c r="D230" t="s">
        <v>613</v>
      </c>
      <c r="E230" t="s">
        <v>709</v>
      </c>
      <c r="F230" s="1">
        <v>43244</v>
      </c>
      <c r="G230" t="s">
        <v>44</v>
      </c>
      <c r="H230" t="s">
        <v>615</v>
      </c>
      <c r="I230" t="s">
        <v>616</v>
      </c>
      <c r="J230">
        <v>14521</v>
      </c>
      <c r="K230" t="s">
        <v>490</v>
      </c>
      <c r="L230">
        <v>1295457</v>
      </c>
      <c r="M230">
        <v>123</v>
      </c>
      <c r="N230">
        <v>98957</v>
      </c>
      <c r="P230">
        <v>580</v>
      </c>
      <c r="Q230">
        <v>660</v>
      </c>
      <c r="R230">
        <v>4280</v>
      </c>
      <c r="T230" s="4">
        <v>0.1875</v>
      </c>
      <c r="U230" s="4"/>
      <c r="V230" t="s">
        <v>48</v>
      </c>
      <c r="W230" t="s">
        <v>49</v>
      </c>
      <c r="X230" t="s">
        <v>50</v>
      </c>
      <c r="Z230" t="s">
        <v>710</v>
      </c>
      <c r="AA230">
        <v>43.273203389999999</v>
      </c>
      <c r="AB230">
        <v>-79.873563189999999</v>
      </c>
      <c r="AC230" t="s">
        <v>684</v>
      </c>
      <c r="AD230" t="s">
        <v>711</v>
      </c>
      <c r="AE230" t="s">
        <v>55</v>
      </c>
      <c r="AF230" t="s">
        <v>56</v>
      </c>
      <c r="AG230">
        <v>34</v>
      </c>
      <c r="AH230">
        <v>0.15160000000000001</v>
      </c>
      <c r="AI230">
        <v>-0.60650000000000004</v>
      </c>
      <c r="AJ230">
        <v>25438</v>
      </c>
      <c r="AK230">
        <v>130</v>
      </c>
      <c r="AL230">
        <v>270</v>
      </c>
      <c r="AM230">
        <v>1387</v>
      </c>
      <c r="AN230" t="s">
        <v>712</v>
      </c>
      <c r="AP230" s="3">
        <v>44631</v>
      </c>
    </row>
    <row r="231" spans="1:42" ht="14.45" hidden="1" customHeight="1" x14ac:dyDescent="0.25">
      <c r="A231" t="s">
        <v>59</v>
      </c>
      <c r="D231" t="s">
        <v>613</v>
      </c>
      <c r="E231" t="s">
        <v>713</v>
      </c>
      <c r="F231" s="1">
        <v>43244</v>
      </c>
      <c r="G231" t="s">
        <v>44</v>
      </c>
      <c r="H231" t="s">
        <v>615</v>
      </c>
      <c r="I231" t="s">
        <v>616</v>
      </c>
      <c r="J231">
        <v>14522</v>
      </c>
      <c r="K231" t="s">
        <v>490</v>
      </c>
      <c r="L231">
        <v>1295458</v>
      </c>
      <c r="M231">
        <v>124</v>
      </c>
      <c r="N231">
        <v>99056</v>
      </c>
      <c r="P231">
        <v>610</v>
      </c>
      <c r="Q231">
        <v>685</v>
      </c>
      <c r="R231">
        <v>5630</v>
      </c>
      <c r="T231" s="4">
        <v>0.20833333333333334</v>
      </c>
      <c r="U231" s="4"/>
      <c r="V231" t="s">
        <v>48</v>
      </c>
      <c r="W231" t="s">
        <v>49</v>
      </c>
      <c r="X231" t="s">
        <v>50</v>
      </c>
      <c r="Z231" t="s">
        <v>710</v>
      </c>
      <c r="AA231">
        <v>43.273203389999999</v>
      </c>
      <c r="AB231">
        <v>-79.873563189999999</v>
      </c>
      <c r="AC231" t="s">
        <v>684</v>
      </c>
      <c r="AD231" t="s">
        <v>714</v>
      </c>
      <c r="AE231" t="s">
        <v>55</v>
      </c>
      <c r="AF231" t="s">
        <v>56</v>
      </c>
      <c r="AG231">
        <v>34</v>
      </c>
      <c r="AH231">
        <v>0.15160000000000001</v>
      </c>
      <c r="AI231">
        <v>-0.60650000000000004</v>
      </c>
      <c r="AJ231">
        <v>25438</v>
      </c>
      <c r="AK231">
        <v>130</v>
      </c>
      <c r="AL231">
        <v>270</v>
      </c>
      <c r="AM231">
        <v>1387</v>
      </c>
      <c r="AN231" t="s">
        <v>606</v>
      </c>
      <c r="AP231" s="3">
        <v>44631</v>
      </c>
    </row>
    <row r="232" spans="1:42" hidden="1" x14ac:dyDescent="0.25">
      <c r="A232" t="s">
        <v>59</v>
      </c>
      <c r="D232" t="s">
        <v>43</v>
      </c>
      <c r="E232" t="s">
        <v>715</v>
      </c>
      <c r="F232" s="1">
        <v>43244</v>
      </c>
      <c r="G232" t="s">
        <v>44</v>
      </c>
      <c r="H232" t="s">
        <v>45</v>
      </c>
      <c r="I232" t="s">
        <v>46</v>
      </c>
      <c r="J232">
        <v>14516</v>
      </c>
      <c r="K232" t="s">
        <v>490</v>
      </c>
      <c r="L232">
        <v>1295452</v>
      </c>
      <c r="M232">
        <v>125</v>
      </c>
      <c r="N232">
        <v>99005</v>
      </c>
      <c r="P232">
        <v>530</v>
      </c>
      <c r="Q232">
        <v>550</v>
      </c>
      <c r="R232">
        <v>1860</v>
      </c>
      <c r="T232" t="s">
        <v>716</v>
      </c>
      <c r="V232" t="s">
        <v>48</v>
      </c>
      <c r="W232" t="s">
        <v>49</v>
      </c>
      <c r="X232" t="s">
        <v>50</v>
      </c>
      <c r="Z232" t="s">
        <v>717</v>
      </c>
      <c r="AA232">
        <v>43.28424236</v>
      </c>
      <c r="AB232">
        <v>-79.87736237</v>
      </c>
      <c r="AC232" t="s">
        <v>684</v>
      </c>
      <c r="AD232" t="s">
        <v>718</v>
      </c>
      <c r="AE232" t="s">
        <v>55</v>
      </c>
      <c r="AF232" t="s">
        <v>56</v>
      </c>
      <c r="AG232">
        <v>34</v>
      </c>
      <c r="AH232">
        <v>0.15160000000000001</v>
      </c>
      <c r="AI232">
        <v>-0.60650000000000004</v>
      </c>
      <c r="AJ232">
        <v>25438</v>
      </c>
      <c r="AK232">
        <v>130</v>
      </c>
      <c r="AL232">
        <v>270</v>
      </c>
      <c r="AM232">
        <v>1387</v>
      </c>
      <c r="AN232" t="s">
        <v>606</v>
      </c>
      <c r="AP232" s="3">
        <v>44631</v>
      </c>
    </row>
    <row r="233" spans="1:42" ht="14.45" hidden="1" customHeight="1" x14ac:dyDescent="0.25">
      <c r="A233" t="s">
        <v>59</v>
      </c>
      <c r="D233" t="s">
        <v>692</v>
      </c>
      <c r="E233" t="s">
        <v>719</v>
      </c>
      <c r="F233" s="1">
        <v>43244</v>
      </c>
      <c r="G233" t="s">
        <v>44</v>
      </c>
      <c r="H233" t="s">
        <v>129</v>
      </c>
      <c r="I233" t="s">
        <v>130</v>
      </c>
      <c r="J233">
        <v>14528</v>
      </c>
      <c r="K233" t="s">
        <v>490</v>
      </c>
      <c r="L233">
        <v>1295464</v>
      </c>
      <c r="M233">
        <v>112</v>
      </c>
      <c r="N233">
        <v>99231</v>
      </c>
      <c r="P233">
        <v>485</v>
      </c>
      <c r="Q233">
        <v>515</v>
      </c>
      <c r="R233">
        <v>2700</v>
      </c>
      <c r="T233" s="4">
        <v>0.20833333333333334</v>
      </c>
      <c r="U233" s="4"/>
      <c r="V233" t="s">
        <v>48</v>
      </c>
      <c r="W233" t="s">
        <v>49</v>
      </c>
      <c r="X233" t="s">
        <v>50</v>
      </c>
      <c r="Z233" t="s">
        <v>720</v>
      </c>
      <c r="AA233">
        <v>43.269699840000001</v>
      </c>
      <c r="AB233">
        <v>-79.873788750000003</v>
      </c>
      <c r="AC233" t="s">
        <v>684</v>
      </c>
      <c r="AD233" t="s">
        <v>721</v>
      </c>
      <c r="AE233" t="s">
        <v>55</v>
      </c>
      <c r="AF233" t="s">
        <v>56</v>
      </c>
      <c r="AG233">
        <v>34</v>
      </c>
      <c r="AH233">
        <v>0.15160000000000001</v>
      </c>
      <c r="AI233">
        <v>-0.60650000000000004</v>
      </c>
      <c r="AJ233">
        <v>25438</v>
      </c>
      <c r="AK233">
        <v>130</v>
      </c>
      <c r="AL233">
        <v>270</v>
      </c>
      <c r="AM233">
        <v>1387</v>
      </c>
      <c r="AN233" t="s">
        <v>722</v>
      </c>
      <c r="AP233" s="3">
        <v>44631</v>
      </c>
    </row>
    <row r="234" spans="1:42" ht="14.45" hidden="1" customHeight="1" x14ac:dyDescent="0.25">
      <c r="A234" t="s">
        <v>59</v>
      </c>
      <c r="D234" t="s">
        <v>692</v>
      </c>
      <c r="E234" t="s">
        <v>723</v>
      </c>
      <c r="F234" s="1">
        <v>43244</v>
      </c>
      <c r="G234" t="s">
        <v>44</v>
      </c>
      <c r="H234" t="s">
        <v>129</v>
      </c>
      <c r="I234" t="s">
        <v>130</v>
      </c>
      <c r="J234">
        <v>14527</v>
      </c>
      <c r="K234" t="s">
        <v>490</v>
      </c>
      <c r="L234">
        <v>1295463</v>
      </c>
      <c r="M234">
        <v>113</v>
      </c>
      <c r="N234">
        <v>99127</v>
      </c>
      <c r="P234">
        <v>465</v>
      </c>
      <c r="Q234">
        <v>483</v>
      </c>
      <c r="R234">
        <v>1850</v>
      </c>
      <c r="T234" s="4">
        <v>0.16666666666666666</v>
      </c>
      <c r="U234" s="4"/>
      <c r="V234" t="s">
        <v>48</v>
      </c>
      <c r="W234" t="s">
        <v>49</v>
      </c>
      <c r="X234" t="s">
        <v>50</v>
      </c>
      <c r="Z234" t="s">
        <v>720</v>
      </c>
      <c r="AA234">
        <v>43.269699840000001</v>
      </c>
      <c r="AB234">
        <v>-79.873788750000003</v>
      </c>
      <c r="AC234" t="s">
        <v>684</v>
      </c>
      <c r="AD234" t="s">
        <v>724</v>
      </c>
      <c r="AE234" t="s">
        <v>55</v>
      </c>
      <c r="AF234" t="s">
        <v>56</v>
      </c>
      <c r="AG234">
        <v>34</v>
      </c>
      <c r="AH234">
        <v>0.15160000000000001</v>
      </c>
      <c r="AI234">
        <v>-0.60650000000000004</v>
      </c>
      <c r="AJ234">
        <v>25438</v>
      </c>
      <c r="AK234">
        <v>130</v>
      </c>
      <c r="AL234">
        <v>270</v>
      </c>
      <c r="AM234">
        <v>1387</v>
      </c>
      <c r="AN234" t="s">
        <v>722</v>
      </c>
      <c r="AP234" s="3">
        <v>44631</v>
      </c>
    </row>
    <row r="235" spans="1:42" ht="14.45" hidden="1" customHeight="1" x14ac:dyDescent="0.25">
      <c r="A235" t="s">
        <v>59</v>
      </c>
      <c r="D235" t="s">
        <v>613</v>
      </c>
      <c r="E235" t="s">
        <v>725</v>
      </c>
      <c r="F235" s="1">
        <v>43244</v>
      </c>
      <c r="G235" t="s">
        <v>44</v>
      </c>
      <c r="H235" t="s">
        <v>615</v>
      </c>
      <c r="I235" t="s">
        <v>616</v>
      </c>
      <c r="J235">
        <v>14520</v>
      </c>
      <c r="K235" t="s">
        <v>490</v>
      </c>
      <c r="L235">
        <v>1295456</v>
      </c>
      <c r="M235">
        <v>114</v>
      </c>
      <c r="N235">
        <v>98461</v>
      </c>
      <c r="P235">
        <v>615</v>
      </c>
      <c r="Q235">
        <v>684</v>
      </c>
      <c r="R235">
        <v>4450</v>
      </c>
      <c r="V235" t="s">
        <v>48</v>
      </c>
      <c r="W235" t="s">
        <v>49</v>
      </c>
      <c r="X235" t="s">
        <v>50</v>
      </c>
      <c r="Z235" t="s">
        <v>726</v>
      </c>
      <c r="AA235">
        <v>43.271667579999999</v>
      </c>
      <c r="AB235">
        <v>-79.876683439999994</v>
      </c>
      <c r="AC235" t="s">
        <v>684</v>
      </c>
      <c r="AD235" t="s">
        <v>727</v>
      </c>
      <c r="AE235" t="s">
        <v>55</v>
      </c>
      <c r="AF235" t="s">
        <v>56</v>
      </c>
      <c r="AG235">
        <v>34</v>
      </c>
      <c r="AH235">
        <v>0.15160000000000001</v>
      </c>
      <c r="AI235">
        <v>-0.60650000000000004</v>
      </c>
      <c r="AJ235">
        <v>25438</v>
      </c>
      <c r="AK235">
        <v>130</v>
      </c>
      <c r="AL235">
        <v>270</v>
      </c>
      <c r="AM235">
        <v>1387</v>
      </c>
      <c r="AN235" t="s">
        <v>606</v>
      </c>
      <c r="AP235" s="3">
        <v>44631</v>
      </c>
    </row>
    <row r="236" spans="1:42" ht="14.45" hidden="1" customHeight="1" x14ac:dyDescent="0.25">
      <c r="A236" t="s">
        <v>59</v>
      </c>
      <c r="D236" t="s">
        <v>613</v>
      </c>
      <c r="E236" t="s">
        <v>728</v>
      </c>
      <c r="F236" s="1">
        <v>43244</v>
      </c>
      <c r="G236" t="s">
        <v>44</v>
      </c>
      <c r="H236" t="s">
        <v>615</v>
      </c>
      <c r="I236" t="s">
        <v>616</v>
      </c>
      <c r="J236">
        <v>14526</v>
      </c>
      <c r="K236" t="s">
        <v>490</v>
      </c>
      <c r="L236">
        <v>1295462</v>
      </c>
      <c r="M236">
        <v>115</v>
      </c>
      <c r="N236">
        <v>98444</v>
      </c>
      <c r="P236">
        <v>555</v>
      </c>
      <c r="Q236">
        <v>617</v>
      </c>
      <c r="R236">
        <v>3580</v>
      </c>
      <c r="T236" s="4">
        <v>0.22916666666666666</v>
      </c>
      <c r="U236" s="4"/>
      <c r="V236" t="s">
        <v>48</v>
      </c>
      <c r="W236" t="s">
        <v>49</v>
      </c>
      <c r="X236" t="s">
        <v>50</v>
      </c>
      <c r="Z236" t="s">
        <v>726</v>
      </c>
      <c r="AA236">
        <v>43.271667579999999</v>
      </c>
      <c r="AB236">
        <v>-79.876683439999994</v>
      </c>
      <c r="AC236" t="s">
        <v>684</v>
      </c>
      <c r="AD236" t="s">
        <v>729</v>
      </c>
      <c r="AE236" t="s">
        <v>55</v>
      </c>
      <c r="AF236" t="s">
        <v>56</v>
      </c>
      <c r="AG236">
        <v>34</v>
      </c>
      <c r="AH236">
        <v>0.15160000000000001</v>
      </c>
      <c r="AI236">
        <v>-0.60650000000000004</v>
      </c>
      <c r="AJ236">
        <v>25438</v>
      </c>
      <c r="AK236">
        <v>130</v>
      </c>
      <c r="AL236">
        <v>270</v>
      </c>
      <c r="AM236">
        <v>1387</v>
      </c>
      <c r="AN236" t="s">
        <v>606</v>
      </c>
      <c r="AP236" s="3">
        <v>44631</v>
      </c>
    </row>
    <row r="237" spans="1:42" ht="14.45" hidden="1" customHeight="1" x14ac:dyDescent="0.25">
      <c r="A237" t="s">
        <v>59</v>
      </c>
      <c r="D237" t="s">
        <v>613</v>
      </c>
      <c r="E237" t="s">
        <v>730</v>
      </c>
      <c r="F237" s="1">
        <v>43244</v>
      </c>
      <c r="G237" t="s">
        <v>44</v>
      </c>
      <c r="H237" t="s">
        <v>615</v>
      </c>
      <c r="I237" t="s">
        <v>616</v>
      </c>
      <c r="J237">
        <v>14808</v>
      </c>
      <c r="K237" t="s">
        <v>490</v>
      </c>
      <c r="L237">
        <v>1288844</v>
      </c>
      <c r="M237">
        <v>117</v>
      </c>
      <c r="N237">
        <v>99205</v>
      </c>
      <c r="P237">
        <v>555</v>
      </c>
      <c r="Q237">
        <v>625</v>
      </c>
      <c r="R237">
        <v>4360</v>
      </c>
      <c r="V237" t="s">
        <v>48</v>
      </c>
      <c r="W237" t="s">
        <v>49</v>
      </c>
      <c r="X237" t="s">
        <v>50</v>
      </c>
      <c r="Z237" t="s">
        <v>726</v>
      </c>
      <c r="AA237">
        <v>43.271667579999999</v>
      </c>
      <c r="AB237">
        <v>-79.876683439999994</v>
      </c>
      <c r="AC237" t="s">
        <v>684</v>
      </c>
      <c r="AD237" t="s">
        <v>731</v>
      </c>
      <c r="AE237" t="s">
        <v>55</v>
      </c>
      <c r="AF237" t="s">
        <v>56</v>
      </c>
      <c r="AG237">
        <v>34</v>
      </c>
      <c r="AH237">
        <v>0.15160000000000001</v>
      </c>
      <c r="AI237">
        <v>-0.60650000000000004</v>
      </c>
      <c r="AJ237">
        <v>24936</v>
      </c>
      <c r="AK237">
        <v>130</v>
      </c>
      <c r="AL237">
        <v>270</v>
      </c>
      <c r="AM237">
        <v>1387</v>
      </c>
      <c r="AN237" t="s">
        <v>606</v>
      </c>
      <c r="AP237" s="3">
        <v>44631</v>
      </c>
    </row>
    <row r="238" spans="1:42" ht="14.45" hidden="1" customHeight="1" x14ac:dyDescent="0.25">
      <c r="A238" t="s">
        <v>59</v>
      </c>
      <c r="D238" t="s">
        <v>692</v>
      </c>
      <c r="E238" t="s">
        <v>732</v>
      </c>
      <c r="F238" s="1">
        <v>43248</v>
      </c>
      <c r="G238" t="s">
        <v>44</v>
      </c>
      <c r="H238" t="s">
        <v>129</v>
      </c>
      <c r="I238" t="s">
        <v>130</v>
      </c>
      <c r="J238">
        <v>14517</v>
      </c>
      <c r="K238" t="s">
        <v>490</v>
      </c>
      <c r="L238">
        <v>1295453</v>
      </c>
      <c r="M238">
        <v>150</v>
      </c>
      <c r="N238">
        <v>99084</v>
      </c>
      <c r="P238">
        <v>440</v>
      </c>
      <c r="R238">
        <v>1624</v>
      </c>
      <c r="V238" t="s">
        <v>48</v>
      </c>
      <c r="W238" t="s">
        <v>49</v>
      </c>
      <c r="X238" t="s">
        <v>50</v>
      </c>
      <c r="Z238" t="s">
        <v>733</v>
      </c>
      <c r="AA238">
        <v>43.271667579999999</v>
      </c>
      <c r="AB238">
        <v>-79.876683439999994</v>
      </c>
      <c r="AC238" t="s">
        <v>684</v>
      </c>
      <c r="AD238" t="s">
        <v>734</v>
      </c>
      <c r="AE238" t="s">
        <v>55</v>
      </c>
      <c r="AF238" t="s">
        <v>56</v>
      </c>
      <c r="AG238">
        <v>34</v>
      </c>
      <c r="AH238">
        <v>0.15160000000000001</v>
      </c>
      <c r="AI238">
        <v>-0.60650000000000004</v>
      </c>
      <c r="AJ238">
        <v>25438</v>
      </c>
      <c r="AK238">
        <v>130</v>
      </c>
      <c r="AL238">
        <v>270</v>
      </c>
      <c r="AM238">
        <v>1387</v>
      </c>
      <c r="AN238" t="s">
        <v>606</v>
      </c>
      <c r="AP238" s="3">
        <v>44635</v>
      </c>
    </row>
    <row r="239" spans="1:42" ht="14.45" hidden="1" customHeight="1" x14ac:dyDescent="0.25">
      <c r="A239" t="s">
        <v>59</v>
      </c>
      <c r="D239" t="s">
        <v>692</v>
      </c>
      <c r="E239" t="s">
        <v>735</v>
      </c>
      <c r="F239" s="1">
        <v>43248</v>
      </c>
      <c r="G239" t="s">
        <v>44</v>
      </c>
      <c r="H239" t="s">
        <v>129</v>
      </c>
      <c r="I239" t="s">
        <v>130</v>
      </c>
      <c r="J239">
        <v>14512</v>
      </c>
      <c r="K239" t="s">
        <v>490</v>
      </c>
      <c r="L239">
        <v>1295448</v>
      </c>
      <c r="M239">
        <v>149</v>
      </c>
      <c r="N239">
        <v>99330</v>
      </c>
      <c r="P239">
        <v>415</v>
      </c>
      <c r="R239">
        <v>1250</v>
      </c>
      <c r="V239" t="s">
        <v>48</v>
      </c>
      <c r="W239" t="s">
        <v>49</v>
      </c>
      <c r="X239" t="s">
        <v>50</v>
      </c>
      <c r="Z239" t="s">
        <v>736</v>
      </c>
      <c r="AC239" t="s">
        <v>684</v>
      </c>
      <c r="AD239" t="s">
        <v>737</v>
      </c>
      <c r="AE239" t="s">
        <v>55</v>
      </c>
      <c r="AF239" t="s">
        <v>56</v>
      </c>
      <c r="AG239">
        <v>34</v>
      </c>
      <c r="AH239">
        <v>0.15160000000000001</v>
      </c>
      <c r="AI239">
        <v>-0.60650000000000004</v>
      </c>
      <c r="AJ239">
        <v>25438</v>
      </c>
      <c r="AK239">
        <v>130</v>
      </c>
      <c r="AL239">
        <v>270</v>
      </c>
      <c r="AM239">
        <v>1387</v>
      </c>
      <c r="AN239" t="s">
        <v>606</v>
      </c>
      <c r="AP239" s="3">
        <v>44635</v>
      </c>
    </row>
    <row r="240" spans="1:42" ht="14.45" hidden="1" customHeight="1" x14ac:dyDescent="0.25">
      <c r="A240" t="s">
        <v>59</v>
      </c>
      <c r="D240" t="s">
        <v>551</v>
      </c>
      <c r="E240" t="s">
        <v>738</v>
      </c>
      <c r="F240" s="1">
        <v>43248</v>
      </c>
      <c r="G240" t="s">
        <v>44</v>
      </c>
      <c r="H240" t="s">
        <v>553</v>
      </c>
      <c r="I240" t="s">
        <v>554</v>
      </c>
      <c r="J240">
        <v>25055</v>
      </c>
      <c r="K240" t="s">
        <v>367</v>
      </c>
      <c r="L240">
        <v>1185676</v>
      </c>
      <c r="M240">
        <v>148</v>
      </c>
      <c r="N240">
        <v>99017</v>
      </c>
      <c r="P240">
        <v>305</v>
      </c>
      <c r="R240">
        <v>769</v>
      </c>
      <c r="V240" t="s">
        <v>48</v>
      </c>
      <c r="W240" t="s">
        <v>49</v>
      </c>
      <c r="X240" t="s">
        <v>50</v>
      </c>
      <c r="Z240" t="s">
        <v>736</v>
      </c>
      <c r="AC240" t="s">
        <v>684</v>
      </c>
      <c r="AD240" s="5" t="s">
        <v>739</v>
      </c>
      <c r="AE240" s="5" t="s">
        <v>740</v>
      </c>
      <c r="AF240" s="5"/>
      <c r="AG240" s="5"/>
      <c r="AH240" s="5"/>
      <c r="AI240" s="5"/>
      <c r="AJ240" s="5">
        <v>16896</v>
      </c>
      <c r="AK240" s="5">
        <v>60</v>
      </c>
      <c r="AL240" s="5">
        <v>180</v>
      </c>
      <c r="AM240" s="5">
        <v>802</v>
      </c>
      <c r="AN240" t="s">
        <v>606</v>
      </c>
      <c r="AP240" s="6">
        <f>F240+AM240</f>
        <v>44050</v>
      </c>
    </row>
    <row r="241" spans="1:42" hidden="1" x14ac:dyDescent="0.25">
      <c r="A241" t="s">
        <v>59</v>
      </c>
      <c r="D241" t="s">
        <v>43</v>
      </c>
      <c r="E241" t="s">
        <v>741</v>
      </c>
      <c r="F241" s="1">
        <v>43249</v>
      </c>
      <c r="G241" t="s">
        <v>44</v>
      </c>
      <c r="H241" t="s">
        <v>45</v>
      </c>
      <c r="I241" t="s">
        <v>46</v>
      </c>
      <c r="J241">
        <v>25056</v>
      </c>
      <c r="K241" t="s">
        <v>367</v>
      </c>
      <c r="L241">
        <v>1185677</v>
      </c>
      <c r="M241">
        <v>147</v>
      </c>
      <c r="N241">
        <v>99146</v>
      </c>
      <c r="P241">
        <v>365</v>
      </c>
      <c r="Q241">
        <v>386</v>
      </c>
      <c r="R241">
        <v>550</v>
      </c>
      <c r="V241" t="s">
        <v>48</v>
      </c>
      <c r="W241" t="s">
        <v>49</v>
      </c>
      <c r="X241" t="s">
        <v>50</v>
      </c>
      <c r="Z241" t="s">
        <v>742</v>
      </c>
      <c r="AC241" t="s">
        <v>684</v>
      </c>
      <c r="AD241" s="5" t="s">
        <v>743</v>
      </c>
      <c r="AE241" s="5" t="s">
        <v>740</v>
      </c>
      <c r="AF241" s="5"/>
      <c r="AG241" s="5"/>
      <c r="AH241" s="5"/>
      <c r="AI241" s="5"/>
      <c r="AJ241" s="5">
        <v>16896</v>
      </c>
      <c r="AK241" s="5">
        <v>60</v>
      </c>
      <c r="AL241" s="5">
        <v>180</v>
      </c>
      <c r="AM241" s="5">
        <v>802</v>
      </c>
      <c r="AN241" t="s">
        <v>606</v>
      </c>
      <c r="AP241" s="6">
        <f>F241+AM241</f>
        <v>44051</v>
      </c>
    </row>
    <row r="242" spans="1:42" hidden="1" x14ac:dyDescent="0.25">
      <c r="A242" t="s">
        <v>59</v>
      </c>
      <c r="D242" t="s">
        <v>43</v>
      </c>
      <c r="E242" t="s">
        <v>744</v>
      </c>
      <c r="F242" s="1">
        <v>43249</v>
      </c>
      <c r="G242" t="s">
        <v>44</v>
      </c>
      <c r="H242" t="s">
        <v>45</v>
      </c>
      <c r="I242" t="s">
        <v>46</v>
      </c>
      <c r="J242">
        <v>1738</v>
      </c>
      <c r="K242" t="s">
        <v>367</v>
      </c>
      <c r="L242">
        <v>1116502</v>
      </c>
      <c r="M242">
        <v>146</v>
      </c>
      <c r="N242">
        <v>99261</v>
      </c>
      <c r="P242">
        <v>335</v>
      </c>
      <c r="R242">
        <v>417</v>
      </c>
      <c r="V242" t="s">
        <v>48</v>
      </c>
      <c r="W242" t="s">
        <v>49</v>
      </c>
      <c r="X242" t="s">
        <v>50</v>
      </c>
      <c r="Z242" t="s">
        <v>745</v>
      </c>
      <c r="AC242" t="s">
        <v>684</v>
      </c>
      <c r="AD242" t="str">
        <f>CONCATENATE(K242,"-",J242)</f>
        <v>A69-1601-1738</v>
      </c>
      <c r="AE242" t="s">
        <v>746</v>
      </c>
      <c r="AJ242" t="s">
        <v>747</v>
      </c>
      <c r="AK242">
        <v>90</v>
      </c>
      <c r="AL242">
        <v>110</v>
      </c>
      <c r="AM242">
        <v>445</v>
      </c>
      <c r="AN242" t="s">
        <v>606</v>
      </c>
      <c r="AP242" s="3">
        <f>F242+AM242</f>
        <v>43694</v>
      </c>
    </row>
    <row r="243" spans="1:42" ht="14.45" hidden="1" customHeight="1" x14ac:dyDescent="0.25">
      <c r="A243" t="s">
        <v>59</v>
      </c>
      <c r="D243" t="s">
        <v>551</v>
      </c>
      <c r="E243" t="s">
        <v>748</v>
      </c>
      <c r="F243" s="1">
        <v>43249</v>
      </c>
      <c r="G243" t="s">
        <v>44</v>
      </c>
      <c r="H243" t="s">
        <v>553</v>
      </c>
      <c r="I243" t="s">
        <v>554</v>
      </c>
      <c r="J243">
        <v>14523</v>
      </c>
      <c r="K243" t="s">
        <v>490</v>
      </c>
      <c r="L243">
        <v>1295459</v>
      </c>
      <c r="M243">
        <v>145</v>
      </c>
      <c r="N243">
        <v>99281</v>
      </c>
      <c r="P243">
        <v>340</v>
      </c>
      <c r="R243">
        <v>1218</v>
      </c>
      <c r="V243" t="s">
        <v>48</v>
      </c>
      <c r="W243" t="s">
        <v>49</v>
      </c>
      <c r="X243" t="s">
        <v>50</v>
      </c>
      <c r="Z243" t="s">
        <v>745</v>
      </c>
      <c r="AC243" t="s">
        <v>684</v>
      </c>
      <c r="AD243" t="s">
        <v>749</v>
      </c>
      <c r="AE243" t="s">
        <v>55</v>
      </c>
      <c r="AF243" t="s">
        <v>56</v>
      </c>
      <c r="AG243">
        <v>34</v>
      </c>
      <c r="AH243">
        <v>0.15160000000000001</v>
      </c>
      <c r="AI243">
        <v>-0.60650000000000004</v>
      </c>
      <c r="AJ243">
        <v>25438</v>
      </c>
      <c r="AK243">
        <v>130</v>
      </c>
      <c r="AL243">
        <v>270</v>
      </c>
      <c r="AM243">
        <v>1387</v>
      </c>
      <c r="AN243" t="s">
        <v>606</v>
      </c>
      <c r="AO243" t="s">
        <v>750</v>
      </c>
      <c r="AP243" s="3">
        <v>44636</v>
      </c>
    </row>
    <row r="244" spans="1:42" ht="14.45" hidden="1" customHeight="1" x14ac:dyDescent="0.25">
      <c r="A244" t="s">
        <v>59</v>
      </c>
      <c r="D244" t="s">
        <v>578</v>
      </c>
      <c r="E244" t="s">
        <v>751</v>
      </c>
      <c r="F244" s="1">
        <v>43627</v>
      </c>
      <c r="G244" t="s">
        <v>44</v>
      </c>
      <c r="H244" t="s">
        <v>580</v>
      </c>
      <c r="I244" t="s">
        <v>581</v>
      </c>
      <c r="J244">
        <v>14173</v>
      </c>
      <c r="K244" t="s">
        <v>490</v>
      </c>
      <c r="L244">
        <v>1303938</v>
      </c>
      <c r="M244">
        <v>27</v>
      </c>
      <c r="P244">
        <v>432</v>
      </c>
      <c r="Q244">
        <v>453</v>
      </c>
      <c r="R244">
        <v>1590</v>
      </c>
      <c r="V244" t="s">
        <v>48</v>
      </c>
      <c r="W244" t="s">
        <v>49</v>
      </c>
      <c r="X244" t="s">
        <v>50</v>
      </c>
      <c r="Z244" t="s">
        <v>752</v>
      </c>
      <c r="AC244" t="s">
        <v>684</v>
      </c>
      <c r="AD244" t="s">
        <v>753</v>
      </c>
      <c r="AE244" t="s">
        <v>754</v>
      </c>
      <c r="AF244" t="s">
        <v>56</v>
      </c>
      <c r="AG244">
        <v>34</v>
      </c>
      <c r="AH244">
        <v>0.15160000000000001</v>
      </c>
      <c r="AI244">
        <v>-0.60650000000000004</v>
      </c>
      <c r="AJ244">
        <v>26153</v>
      </c>
      <c r="AK244">
        <v>130</v>
      </c>
      <c r="AL244">
        <v>270</v>
      </c>
      <c r="AM244">
        <v>1244</v>
      </c>
      <c r="AN244" t="s">
        <v>653</v>
      </c>
      <c r="AP244" s="3">
        <v>44871</v>
      </c>
    </row>
    <row r="245" spans="1:42" ht="14.45" hidden="1" customHeight="1" x14ac:dyDescent="0.25">
      <c r="A245" t="s">
        <v>59</v>
      </c>
      <c r="D245" t="s">
        <v>578</v>
      </c>
      <c r="E245" t="s">
        <v>755</v>
      </c>
      <c r="F245" s="1">
        <v>43628</v>
      </c>
      <c r="G245" t="s">
        <v>44</v>
      </c>
      <c r="H245" t="s">
        <v>580</v>
      </c>
      <c r="I245" t="s">
        <v>581</v>
      </c>
      <c r="J245">
        <v>14172</v>
      </c>
      <c r="K245" t="s">
        <v>490</v>
      </c>
      <c r="L245">
        <v>1303937</v>
      </c>
      <c r="M245">
        <v>31</v>
      </c>
      <c r="P245">
        <v>421</v>
      </c>
      <c r="Q245">
        <v>439</v>
      </c>
      <c r="R245">
        <v>1510</v>
      </c>
      <c r="V245" t="s">
        <v>48</v>
      </c>
      <c r="W245" t="s">
        <v>49</v>
      </c>
      <c r="X245" t="s">
        <v>50</v>
      </c>
      <c r="Z245" t="s">
        <v>752</v>
      </c>
      <c r="AC245" t="s">
        <v>684</v>
      </c>
      <c r="AD245" t="s">
        <v>756</v>
      </c>
      <c r="AE245" t="s">
        <v>754</v>
      </c>
      <c r="AF245" t="s">
        <v>56</v>
      </c>
      <c r="AG245">
        <v>34</v>
      </c>
      <c r="AH245">
        <v>0.15160000000000001</v>
      </c>
      <c r="AI245">
        <v>-0.60650000000000004</v>
      </c>
      <c r="AJ245">
        <v>26153</v>
      </c>
      <c r="AK245">
        <v>130</v>
      </c>
      <c r="AL245">
        <v>270</v>
      </c>
      <c r="AM245">
        <v>1244</v>
      </c>
      <c r="AN245" t="s">
        <v>653</v>
      </c>
      <c r="AP245" s="3">
        <v>44872</v>
      </c>
    </row>
    <row r="246" spans="1:42" ht="14.45" hidden="1" customHeight="1" x14ac:dyDescent="0.25">
      <c r="A246" t="s">
        <v>59</v>
      </c>
      <c r="D246" t="s">
        <v>578</v>
      </c>
      <c r="E246" t="s">
        <v>757</v>
      </c>
      <c r="F246" s="1">
        <v>43628</v>
      </c>
      <c r="G246" t="s">
        <v>44</v>
      </c>
      <c r="H246" t="s">
        <v>580</v>
      </c>
      <c r="I246" t="s">
        <v>581</v>
      </c>
      <c r="J246">
        <v>14176</v>
      </c>
      <c r="K246" t="s">
        <v>490</v>
      </c>
      <c r="L246">
        <v>1303941</v>
      </c>
      <c r="M246">
        <v>32</v>
      </c>
      <c r="P246">
        <v>438</v>
      </c>
      <c r="Q246">
        <v>461</v>
      </c>
      <c r="R246">
        <v>1730</v>
      </c>
      <c r="V246" t="s">
        <v>48</v>
      </c>
      <c r="W246" t="s">
        <v>49</v>
      </c>
      <c r="X246" t="s">
        <v>50</v>
      </c>
      <c r="Z246" t="s">
        <v>752</v>
      </c>
      <c r="AC246" t="s">
        <v>684</v>
      </c>
      <c r="AD246" t="s">
        <v>758</v>
      </c>
      <c r="AE246" t="s">
        <v>754</v>
      </c>
      <c r="AF246" t="s">
        <v>56</v>
      </c>
      <c r="AG246">
        <v>34</v>
      </c>
      <c r="AH246">
        <v>0.15160000000000001</v>
      </c>
      <c r="AI246">
        <v>-0.60650000000000004</v>
      </c>
      <c r="AJ246">
        <v>26153</v>
      </c>
      <c r="AK246">
        <v>130</v>
      </c>
      <c r="AL246">
        <v>270</v>
      </c>
      <c r="AM246">
        <v>1244</v>
      </c>
      <c r="AN246" t="s">
        <v>653</v>
      </c>
      <c r="AP246" s="3">
        <v>44872</v>
      </c>
    </row>
    <row r="247" spans="1:42" ht="14.45" hidden="1" customHeight="1" x14ac:dyDescent="0.25">
      <c r="A247" t="s">
        <v>59</v>
      </c>
      <c r="D247" t="s">
        <v>578</v>
      </c>
      <c r="E247" t="s">
        <v>759</v>
      </c>
      <c r="F247" s="1">
        <v>43628</v>
      </c>
      <c r="G247" t="s">
        <v>44</v>
      </c>
      <c r="H247" t="s">
        <v>580</v>
      </c>
      <c r="I247" t="s">
        <v>581</v>
      </c>
      <c r="J247">
        <v>14240</v>
      </c>
      <c r="K247" t="s">
        <v>490</v>
      </c>
      <c r="L247">
        <v>1302733</v>
      </c>
      <c r="M247">
        <v>33</v>
      </c>
      <c r="P247">
        <v>435</v>
      </c>
      <c r="Q247">
        <v>455</v>
      </c>
      <c r="R247">
        <v>1250</v>
      </c>
      <c r="V247" t="s">
        <v>48</v>
      </c>
      <c r="W247" t="s">
        <v>49</v>
      </c>
      <c r="X247" t="s">
        <v>50</v>
      </c>
      <c r="Z247" t="s">
        <v>760</v>
      </c>
      <c r="AC247" t="s">
        <v>684</v>
      </c>
      <c r="AD247" t="str">
        <f>CONCATENATE(K247,"-",J247)</f>
        <v>A69-9006-14240</v>
      </c>
      <c r="AE247" t="s">
        <v>761</v>
      </c>
      <c r="AF247" t="s">
        <v>56</v>
      </c>
      <c r="AG247">
        <v>34</v>
      </c>
      <c r="AH247">
        <v>0.15160000000000001</v>
      </c>
      <c r="AI247">
        <v>-0.60650000000000004</v>
      </c>
      <c r="AJ247" t="s">
        <v>747</v>
      </c>
      <c r="AK247">
        <v>130</v>
      </c>
      <c r="AL247">
        <v>270</v>
      </c>
      <c r="AM247">
        <v>1244</v>
      </c>
      <c r="AN247" t="s">
        <v>762</v>
      </c>
      <c r="AP247" s="3">
        <f>F247+AM247</f>
        <v>44872</v>
      </c>
    </row>
    <row r="248" spans="1:42" ht="14.45" hidden="1" customHeight="1" x14ac:dyDescent="0.25">
      <c r="A248" t="s">
        <v>59</v>
      </c>
      <c r="D248" t="s">
        <v>551</v>
      </c>
      <c r="E248" t="s">
        <v>763</v>
      </c>
      <c r="F248" s="1">
        <v>44103</v>
      </c>
      <c r="G248" t="s">
        <v>44</v>
      </c>
      <c r="H248" t="s">
        <v>553</v>
      </c>
      <c r="I248" t="s">
        <v>554</v>
      </c>
      <c r="J248">
        <v>9161</v>
      </c>
      <c r="K248" t="s">
        <v>490</v>
      </c>
      <c r="L248">
        <v>1336076</v>
      </c>
      <c r="M248">
        <v>67</v>
      </c>
      <c r="N248">
        <v>160658</v>
      </c>
      <c r="P248">
        <v>325</v>
      </c>
      <c r="Q248">
        <v>360</v>
      </c>
      <c r="R248">
        <v>1590</v>
      </c>
      <c r="S248" t="s">
        <v>342</v>
      </c>
      <c r="T248" t="s">
        <v>342</v>
      </c>
      <c r="V248" t="s">
        <v>48</v>
      </c>
      <c r="W248" t="s">
        <v>49</v>
      </c>
      <c r="AA248">
        <v>43.268770000000004</v>
      </c>
      <c r="AB248">
        <v>-79.781589999999994</v>
      </c>
      <c r="AC248" t="s">
        <v>684</v>
      </c>
      <c r="AD248" t="s">
        <v>764</v>
      </c>
      <c r="AE248" t="s">
        <v>765</v>
      </c>
      <c r="AF248" t="s">
        <v>56</v>
      </c>
      <c r="AG248">
        <v>34</v>
      </c>
      <c r="AH248">
        <v>0.15040000000000001</v>
      </c>
      <c r="AI248">
        <v>-0.6018</v>
      </c>
      <c r="AJ248">
        <v>28837</v>
      </c>
      <c r="AK248">
        <v>130</v>
      </c>
      <c r="AL248">
        <v>230</v>
      </c>
      <c r="AM248">
        <v>675</v>
      </c>
      <c r="AN248" t="s">
        <v>766</v>
      </c>
      <c r="AP248" s="3">
        <v>44778</v>
      </c>
    </row>
    <row r="249" spans="1:42" ht="14.45" hidden="1" customHeight="1" x14ac:dyDescent="0.25">
      <c r="A249" t="s">
        <v>59</v>
      </c>
      <c r="D249" t="s">
        <v>122</v>
      </c>
      <c r="E249" t="s">
        <v>767</v>
      </c>
      <c r="F249" s="1">
        <v>44103</v>
      </c>
      <c r="G249" t="s">
        <v>44</v>
      </c>
      <c r="H249" t="s">
        <v>124</v>
      </c>
      <c r="I249" t="s">
        <v>125</v>
      </c>
      <c r="J249">
        <v>12556</v>
      </c>
      <c r="K249" t="s">
        <v>490</v>
      </c>
      <c r="L249">
        <v>1336210</v>
      </c>
      <c r="M249">
        <v>93</v>
      </c>
      <c r="N249">
        <v>160579</v>
      </c>
      <c r="P249">
        <v>710</v>
      </c>
      <c r="Q249">
        <v>748</v>
      </c>
      <c r="R249">
        <v>2860</v>
      </c>
      <c r="S249" t="s">
        <v>768</v>
      </c>
      <c r="T249" t="s">
        <v>768</v>
      </c>
      <c r="V249" t="s">
        <v>48</v>
      </c>
      <c r="W249" t="s">
        <v>49</v>
      </c>
      <c r="AA249">
        <v>43.270980000000002</v>
      </c>
      <c r="AB249">
        <v>-79.789169999999999</v>
      </c>
      <c r="AC249" t="s">
        <v>684</v>
      </c>
      <c r="AD249" t="s">
        <v>769</v>
      </c>
      <c r="AE249" t="s">
        <v>754</v>
      </c>
      <c r="AF249" t="s">
        <v>56</v>
      </c>
      <c r="AG249">
        <v>34</v>
      </c>
      <c r="AH249">
        <v>0.15160000000000001</v>
      </c>
      <c r="AI249">
        <v>-0.60650000000000004</v>
      </c>
      <c r="AJ249">
        <v>28841</v>
      </c>
      <c r="AK249">
        <v>130</v>
      </c>
      <c r="AL249">
        <v>270</v>
      </c>
      <c r="AM249">
        <v>1244</v>
      </c>
      <c r="AP249" s="3">
        <v>45347</v>
      </c>
    </row>
    <row r="250" spans="1:42" hidden="1" x14ac:dyDescent="0.25">
      <c r="A250" t="s">
        <v>59</v>
      </c>
      <c r="D250" t="s">
        <v>43</v>
      </c>
      <c r="E250" t="s">
        <v>770</v>
      </c>
      <c r="F250" s="1">
        <v>44103</v>
      </c>
      <c r="G250" t="s">
        <v>44</v>
      </c>
      <c r="H250" t="s">
        <v>45</v>
      </c>
      <c r="I250" t="s">
        <v>46</v>
      </c>
      <c r="J250">
        <v>12557</v>
      </c>
      <c r="K250" t="s">
        <v>490</v>
      </c>
      <c r="L250">
        <v>1336211</v>
      </c>
      <c r="M250">
        <v>92</v>
      </c>
      <c r="N250">
        <v>160760</v>
      </c>
      <c r="P250">
        <v>708</v>
      </c>
      <c r="Q250">
        <v>752</v>
      </c>
      <c r="R250">
        <v>5230</v>
      </c>
      <c r="S250" t="s">
        <v>342</v>
      </c>
      <c r="T250" t="s">
        <v>342</v>
      </c>
      <c r="V250" t="s">
        <v>48</v>
      </c>
      <c r="W250" t="s">
        <v>49</v>
      </c>
      <c r="AA250">
        <v>43.268549999999998</v>
      </c>
      <c r="AB250">
        <v>-79.781859999999995</v>
      </c>
      <c r="AC250" t="s">
        <v>684</v>
      </c>
      <c r="AD250" t="s">
        <v>771</v>
      </c>
      <c r="AE250" t="s">
        <v>754</v>
      </c>
      <c r="AF250" t="s">
        <v>56</v>
      </c>
      <c r="AG250">
        <v>34</v>
      </c>
      <c r="AH250">
        <v>0.15160000000000001</v>
      </c>
      <c r="AI250">
        <v>-0.60650000000000004</v>
      </c>
      <c r="AJ250">
        <v>28841</v>
      </c>
      <c r="AK250">
        <v>130</v>
      </c>
      <c r="AL250">
        <v>270</v>
      </c>
      <c r="AM250">
        <v>1244</v>
      </c>
      <c r="AP250" s="3">
        <v>45347</v>
      </c>
    </row>
    <row r="251" spans="1:42" hidden="1" x14ac:dyDescent="0.25">
      <c r="A251" t="s">
        <v>59</v>
      </c>
      <c r="D251" t="s">
        <v>43</v>
      </c>
      <c r="E251" t="s">
        <v>772</v>
      </c>
      <c r="F251" s="1">
        <v>44103</v>
      </c>
      <c r="G251" t="s">
        <v>44</v>
      </c>
      <c r="H251" t="s">
        <v>45</v>
      </c>
      <c r="I251" t="s">
        <v>46</v>
      </c>
      <c r="J251">
        <v>12554</v>
      </c>
      <c r="K251" t="s">
        <v>490</v>
      </c>
      <c r="L251">
        <v>1336208</v>
      </c>
      <c r="M251">
        <v>76</v>
      </c>
      <c r="N251">
        <v>160609</v>
      </c>
      <c r="P251">
        <v>479</v>
      </c>
      <c r="Q251">
        <v>510</v>
      </c>
      <c r="R251">
        <v>1810</v>
      </c>
      <c r="S251" t="s">
        <v>768</v>
      </c>
      <c r="T251" t="s">
        <v>768</v>
      </c>
      <c r="V251" t="s">
        <v>48</v>
      </c>
      <c r="W251" t="s">
        <v>49</v>
      </c>
      <c r="AA251">
        <v>43.268549999999998</v>
      </c>
      <c r="AB251">
        <v>-79.781859999999995</v>
      </c>
      <c r="AC251" t="s">
        <v>684</v>
      </c>
      <c r="AD251" t="s">
        <v>773</v>
      </c>
      <c r="AE251" t="s">
        <v>754</v>
      </c>
      <c r="AF251" t="s">
        <v>56</v>
      </c>
      <c r="AG251">
        <v>34</v>
      </c>
      <c r="AH251">
        <v>0.15160000000000001</v>
      </c>
      <c r="AI251">
        <v>-0.60650000000000004</v>
      </c>
      <c r="AJ251">
        <v>28841</v>
      </c>
      <c r="AK251">
        <v>130</v>
      </c>
      <c r="AL251">
        <v>270</v>
      </c>
      <c r="AM251">
        <v>1244</v>
      </c>
      <c r="AN251" t="s">
        <v>774</v>
      </c>
      <c r="AP251" s="3">
        <v>45347</v>
      </c>
    </row>
    <row r="252" spans="1:42" hidden="1" x14ac:dyDescent="0.25">
      <c r="A252" t="s">
        <v>59</v>
      </c>
      <c r="D252" t="s">
        <v>43</v>
      </c>
      <c r="E252" t="s">
        <v>775</v>
      </c>
      <c r="F252" s="1">
        <v>44103</v>
      </c>
      <c r="G252" t="s">
        <v>44</v>
      </c>
      <c r="H252" t="s">
        <v>45</v>
      </c>
      <c r="I252" t="s">
        <v>46</v>
      </c>
      <c r="J252">
        <v>12558</v>
      </c>
      <c r="K252" t="s">
        <v>490</v>
      </c>
      <c r="L252">
        <v>1336212</v>
      </c>
      <c r="M252">
        <v>90</v>
      </c>
      <c r="N252">
        <v>160459</v>
      </c>
      <c r="P252">
        <v>517</v>
      </c>
      <c r="Q252">
        <v>557</v>
      </c>
      <c r="R252">
        <v>1880</v>
      </c>
      <c r="S252" t="s">
        <v>342</v>
      </c>
      <c r="T252" t="s">
        <v>342</v>
      </c>
      <c r="V252" t="s">
        <v>48</v>
      </c>
      <c r="W252" t="s">
        <v>49</v>
      </c>
      <c r="AA252">
        <v>43.268549999999998</v>
      </c>
      <c r="AB252">
        <v>-79.781859999999995</v>
      </c>
      <c r="AC252" t="s">
        <v>684</v>
      </c>
      <c r="AD252" t="s">
        <v>776</v>
      </c>
      <c r="AE252" t="s">
        <v>754</v>
      </c>
      <c r="AF252" t="s">
        <v>56</v>
      </c>
      <c r="AG252">
        <v>34</v>
      </c>
      <c r="AH252">
        <v>0.15160000000000001</v>
      </c>
      <c r="AI252">
        <v>-0.60650000000000004</v>
      </c>
      <c r="AJ252">
        <v>28841</v>
      </c>
      <c r="AK252">
        <v>130</v>
      </c>
      <c r="AL252">
        <v>270</v>
      </c>
      <c r="AM252">
        <v>1244</v>
      </c>
      <c r="AN252" t="s">
        <v>777</v>
      </c>
      <c r="AP252" s="3">
        <v>45347</v>
      </c>
    </row>
    <row r="253" spans="1:42" ht="14.45" customHeight="1" x14ac:dyDescent="0.25">
      <c r="A253" t="s">
        <v>59</v>
      </c>
      <c r="D253" t="s">
        <v>607</v>
      </c>
      <c r="E253" t="s">
        <v>778</v>
      </c>
      <c r="F253" s="1">
        <v>44103</v>
      </c>
      <c r="G253" t="s">
        <v>44</v>
      </c>
      <c r="H253" t="s">
        <v>607</v>
      </c>
      <c r="I253" t="s">
        <v>779</v>
      </c>
      <c r="J253">
        <v>9154</v>
      </c>
      <c r="K253" t="s">
        <v>490</v>
      </c>
      <c r="L253">
        <v>1336069</v>
      </c>
      <c r="M253">
        <v>66</v>
      </c>
      <c r="N253">
        <v>160789</v>
      </c>
      <c r="S253" t="s">
        <v>768</v>
      </c>
      <c r="T253" t="s">
        <v>768</v>
      </c>
      <c r="V253" t="s">
        <v>48</v>
      </c>
      <c r="W253" t="s">
        <v>49</v>
      </c>
      <c r="AA253">
        <v>43.268549999999998</v>
      </c>
      <c r="AB253">
        <v>-79.781859999999995</v>
      </c>
      <c r="AC253" t="s">
        <v>684</v>
      </c>
      <c r="AD253" t="s">
        <v>780</v>
      </c>
      <c r="AE253" t="s">
        <v>765</v>
      </c>
      <c r="AF253" t="s">
        <v>56</v>
      </c>
      <c r="AG253">
        <v>34</v>
      </c>
      <c r="AH253">
        <v>0.15040000000000001</v>
      </c>
      <c r="AI253">
        <v>-0.6018</v>
      </c>
      <c r="AJ253">
        <v>28837</v>
      </c>
      <c r="AK253">
        <v>130</v>
      </c>
      <c r="AL253">
        <v>230</v>
      </c>
      <c r="AM253">
        <v>675</v>
      </c>
      <c r="AN253" t="s">
        <v>781</v>
      </c>
      <c r="AP253" s="3">
        <v>44778</v>
      </c>
    </row>
    <row r="254" spans="1:42" ht="14.45" hidden="1" customHeight="1" x14ac:dyDescent="0.25">
      <c r="A254" t="s">
        <v>59</v>
      </c>
      <c r="D254" t="s">
        <v>122</v>
      </c>
      <c r="E254" t="s">
        <v>782</v>
      </c>
      <c r="F254" s="1">
        <v>44124</v>
      </c>
      <c r="G254" t="s">
        <v>44</v>
      </c>
      <c r="H254" t="s">
        <v>124</v>
      </c>
      <c r="I254" t="s">
        <v>125</v>
      </c>
      <c r="J254">
        <v>12543</v>
      </c>
      <c r="K254" t="s">
        <v>490</v>
      </c>
      <c r="L254">
        <v>1336197</v>
      </c>
      <c r="M254">
        <v>89</v>
      </c>
      <c r="N254">
        <v>160737</v>
      </c>
      <c r="P254">
        <v>594</v>
      </c>
      <c r="Q254">
        <v>630</v>
      </c>
      <c r="R254">
        <v>1790</v>
      </c>
      <c r="S254" t="s">
        <v>342</v>
      </c>
      <c r="T254" t="s">
        <v>342</v>
      </c>
      <c r="V254" t="s">
        <v>48</v>
      </c>
      <c r="W254" t="s">
        <v>49</v>
      </c>
      <c r="Z254" t="s">
        <v>783</v>
      </c>
      <c r="AC254" t="s">
        <v>684</v>
      </c>
      <c r="AD254" t="s">
        <v>784</v>
      </c>
      <c r="AE254" t="s">
        <v>754</v>
      </c>
      <c r="AF254" t="s">
        <v>56</v>
      </c>
      <c r="AG254">
        <v>34</v>
      </c>
      <c r="AH254">
        <v>0.15160000000000001</v>
      </c>
      <c r="AI254">
        <v>-0.60650000000000004</v>
      </c>
      <c r="AJ254">
        <v>28841</v>
      </c>
      <c r="AK254">
        <v>130</v>
      </c>
      <c r="AL254">
        <v>270</v>
      </c>
      <c r="AM254">
        <v>1244</v>
      </c>
      <c r="AP254" s="3">
        <v>45368</v>
      </c>
    </row>
    <row r="255" spans="1:42" ht="14.45" hidden="1" customHeight="1" x14ac:dyDescent="0.25">
      <c r="A255" t="s">
        <v>59</v>
      </c>
      <c r="D255" t="s">
        <v>692</v>
      </c>
      <c r="E255" t="s">
        <v>785</v>
      </c>
      <c r="F255" s="1">
        <v>44124</v>
      </c>
      <c r="G255" t="s">
        <v>44</v>
      </c>
      <c r="H255" t="s">
        <v>129</v>
      </c>
      <c r="I255" t="s">
        <v>130</v>
      </c>
      <c r="J255">
        <v>12547</v>
      </c>
      <c r="K255" t="s">
        <v>490</v>
      </c>
      <c r="L255">
        <v>1336201</v>
      </c>
      <c r="M255">
        <v>78</v>
      </c>
      <c r="N255">
        <v>160709</v>
      </c>
      <c r="P255">
        <v>459</v>
      </c>
      <c r="Q255">
        <v>482</v>
      </c>
      <c r="R255">
        <v>2340</v>
      </c>
      <c r="S255" t="s">
        <v>768</v>
      </c>
      <c r="T255" t="s">
        <v>768</v>
      </c>
      <c r="V255" t="s">
        <v>48</v>
      </c>
      <c r="W255" t="s">
        <v>49</v>
      </c>
      <c r="Z255" t="s">
        <v>783</v>
      </c>
      <c r="AC255" t="s">
        <v>684</v>
      </c>
      <c r="AD255" t="s">
        <v>786</v>
      </c>
      <c r="AE255" t="s">
        <v>754</v>
      </c>
      <c r="AF255" t="s">
        <v>56</v>
      </c>
      <c r="AG255">
        <v>34</v>
      </c>
      <c r="AH255">
        <v>0.15160000000000001</v>
      </c>
      <c r="AI255">
        <v>-0.60650000000000004</v>
      </c>
      <c r="AJ255">
        <v>28841</v>
      </c>
      <c r="AK255">
        <v>130</v>
      </c>
      <c r="AL255">
        <v>270</v>
      </c>
      <c r="AM255">
        <v>1244</v>
      </c>
      <c r="AP255" s="3">
        <v>45368</v>
      </c>
    </row>
    <row r="256" spans="1:42" ht="14.45" hidden="1" customHeight="1" x14ac:dyDescent="0.25">
      <c r="A256" t="s">
        <v>59</v>
      </c>
      <c r="D256" t="s">
        <v>551</v>
      </c>
      <c r="E256" t="s">
        <v>787</v>
      </c>
      <c r="F256" s="1">
        <v>44124</v>
      </c>
      <c r="G256" t="s">
        <v>44</v>
      </c>
      <c r="H256" t="s">
        <v>553</v>
      </c>
      <c r="I256" t="s">
        <v>554</v>
      </c>
      <c r="J256">
        <v>9148</v>
      </c>
      <c r="K256" t="s">
        <v>490</v>
      </c>
      <c r="L256">
        <v>1336063</v>
      </c>
      <c r="M256" t="s">
        <v>342</v>
      </c>
      <c r="N256">
        <v>160742</v>
      </c>
      <c r="P256">
        <v>280</v>
      </c>
      <c r="Q256">
        <v>304</v>
      </c>
      <c r="R256">
        <v>577</v>
      </c>
      <c r="S256" t="s">
        <v>342</v>
      </c>
      <c r="T256" t="s">
        <v>342</v>
      </c>
      <c r="V256" t="s">
        <v>48</v>
      </c>
      <c r="W256" t="s">
        <v>49</v>
      </c>
      <c r="Z256" t="s">
        <v>300</v>
      </c>
      <c r="AC256" t="s">
        <v>684</v>
      </c>
      <c r="AD256" t="s">
        <v>788</v>
      </c>
      <c r="AE256" t="s">
        <v>765</v>
      </c>
      <c r="AF256" t="s">
        <v>56</v>
      </c>
      <c r="AG256">
        <v>34</v>
      </c>
      <c r="AH256">
        <v>0.15040000000000001</v>
      </c>
      <c r="AI256">
        <v>-0.6018</v>
      </c>
      <c r="AJ256">
        <v>28837</v>
      </c>
      <c r="AK256">
        <v>130</v>
      </c>
      <c r="AL256">
        <v>230</v>
      </c>
      <c r="AM256">
        <v>675</v>
      </c>
      <c r="AP256" s="3">
        <v>44799</v>
      </c>
    </row>
    <row r="257" spans="1:42" ht="14.45" hidden="1" customHeight="1" x14ac:dyDescent="0.25">
      <c r="A257" t="s">
        <v>59</v>
      </c>
      <c r="D257" t="s">
        <v>551</v>
      </c>
      <c r="E257" t="s">
        <v>789</v>
      </c>
      <c r="F257" s="1">
        <v>44124</v>
      </c>
      <c r="G257" t="s">
        <v>44</v>
      </c>
      <c r="H257" t="s">
        <v>553</v>
      </c>
      <c r="I257" t="s">
        <v>554</v>
      </c>
      <c r="J257">
        <v>9147</v>
      </c>
      <c r="K257" t="s">
        <v>490</v>
      </c>
      <c r="L257">
        <v>1336062</v>
      </c>
      <c r="M257" t="s">
        <v>342</v>
      </c>
      <c r="N257">
        <v>160667</v>
      </c>
      <c r="P257">
        <v>300</v>
      </c>
      <c r="Q257">
        <v>320</v>
      </c>
      <c r="R257">
        <v>860</v>
      </c>
      <c r="S257" t="s">
        <v>768</v>
      </c>
      <c r="T257" t="s">
        <v>768</v>
      </c>
      <c r="V257" t="s">
        <v>48</v>
      </c>
      <c r="W257" t="s">
        <v>49</v>
      </c>
      <c r="Z257" t="s">
        <v>300</v>
      </c>
      <c r="AC257" t="s">
        <v>684</v>
      </c>
      <c r="AD257" t="s">
        <v>790</v>
      </c>
      <c r="AE257" t="s">
        <v>765</v>
      </c>
      <c r="AF257" t="s">
        <v>56</v>
      </c>
      <c r="AG257">
        <v>34</v>
      </c>
      <c r="AH257">
        <v>0.15040000000000001</v>
      </c>
      <c r="AI257">
        <v>-0.6018</v>
      </c>
      <c r="AJ257">
        <v>28837</v>
      </c>
      <c r="AK257">
        <v>130</v>
      </c>
      <c r="AL257">
        <v>230</v>
      </c>
      <c r="AM257">
        <v>675</v>
      </c>
      <c r="AP257" s="3">
        <v>44799</v>
      </c>
    </row>
    <row r="258" spans="1:42" ht="14.45" hidden="1" customHeight="1" x14ac:dyDescent="0.25">
      <c r="A258" t="s">
        <v>791</v>
      </c>
      <c r="D258" t="s">
        <v>551</v>
      </c>
      <c r="E258" t="s">
        <v>792</v>
      </c>
      <c r="F258" s="1">
        <v>44085</v>
      </c>
      <c r="G258" t="s">
        <v>44</v>
      </c>
      <c r="H258" t="s">
        <v>553</v>
      </c>
      <c r="I258" t="s">
        <v>554</v>
      </c>
      <c r="J258">
        <v>9171</v>
      </c>
      <c r="K258" t="s">
        <v>490</v>
      </c>
      <c r="L258">
        <v>1336086</v>
      </c>
      <c r="M258" t="s">
        <v>342</v>
      </c>
      <c r="N258">
        <v>160657</v>
      </c>
      <c r="P258">
        <v>248</v>
      </c>
      <c r="Q258">
        <v>274</v>
      </c>
      <c r="R258">
        <v>376</v>
      </c>
      <c r="S258" t="s">
        <v>768</v>
      </c>
      <c r="T258" t="s">
        <v>768</v>
      </c>
      <c r="V258" t="s">
        <v>48</v>
      </c>
      <c r="W258" t="s">
        <v>49</v>
      </c>
      <c r="Z258" t="s">
        <v>793</v>
      </c>
      <c r="AC258" t="s">
        <v>684</v>
      </c>
      <c r="AD258" t="s">
        <v>794</v>
      </c>
      <c r="AE258" t="s">
        <v>765</v>
      </c>
      <c r="AF258" t="s">
        <v>56</v>
      </c>
      <c r="AG258">
        <v>34</v>
      </c>
      <c r="AH258">
        <v>0.15040000000000001</v>
      </c>
      <c r="AI258">
        <v>-0.6018</v>
      </c>
      <c r="AJ258">
        <v>28837</v>
      </c>
      <c r="AK258">
        <v>130</v>
      </c>
      <c r="AL258">
        <v>230</v>
      </c>
      <c r="AM258">
        <v>675</v>
      </c>
      <c r="AN258" s="7" t="s">
        <v>795</v>
      </c>
      <c r="AP258" s="3">
        <v>44760</v>
      </c>
    </row>
    <row r="259" spans="1:42" ht="14.45" hidden="1" customHeight="1" x14ac:dyDescent="0.25">
      <c r="A259" t="s">
        <v>59</v>
      </c>
      <c r="D259" t="s">
        <v>551</v>
      </c>
      <c r="E259" t="s">
        <v>796</v>
      </c>
      <c r="F259" s="1">
        <v>44092</v>
      </c>
      <c r="G259" t="s">
        <v>44</v>
      </c>
      <c r="H259" t="s">
        <v>553</v>
      </c>
      <c r="I259" t="s">
        <v>554</v>
      </c>
      <c r="J259">
        <v>9168</v>
      </c>
      <c r="K259" t="s">
        <v>490</v>
      </c>
      <c r="L259">
        <v>1336083</v>
      </c>
      <c r="M259">
        <v>50</v>
      </c>
      <c r="N259">
        <v>160625</v>
      </c>
      <c r="P259">
        <v>249</v>
      </c>
      <c r="Q259">
        <v>261</v>
      </c>
      <c r="R259">
        <v>480</v>
      </c>
      <c r="S259" t="s">
        <v>768</v>
      </c>
      <c r="T259" t="s">
        <v>768</v>
      </c>
      <c r="V259" t="s">
        <v>48</v>
      </c>
      <c r="W259" t="s">
        <v>49</v>
      </c>
      <c r="Z259" t="s">
        <v>797</v>
      </c>
      <c r="AC259" t="s">
        <v>684</v>
      </c>
      <c r="AD259" t="s">
        <v>798</v>
      </c>
      <c r="AE259" t="s">
        <v>765</v>
      </c>
      <c r="AF259" t="s">
        <v>56</v>
      </c>
      <c r="AG259">
        <v>34</v>
      </c>
      <c r="AH259">
        <v>0.15040000000000001</v>
      </c>
      <c r="AI259">
        <v>-0.6018</v>
      </c>
      <c r="AJ259">
        <v>28837</v>
      </c>
      <c r="AK259">
        <v>130</v>
      </c>
      <c r="AL259">
        <v>230</v>
      </c>
      <c r="AM259">
        <v>675</v>
      </c>
      <c r="AP259" s="3">
        <v>44767</v>
      </c>
    </row>
    <row r="260" spans="1:42" ht="14.45" hidden="1" customHeight="1" x14ac:dyDescent="0.25">
      <c r="A260" t="s">
        <v>59</v>
      </c>
      <c r="D260" t="s">
        <v>551</v>
      </c>
      <c r="E260" t="s">
        <v>799</v>
      </c>
      <c r="F260" s="1">
        <v>44092</v>
      </c>
      <c r="G260" t="s">
        <v>44</v>
      </c>
      <c r="H260" t="s">
        <v>553</v>
      </c>
      <c r="I260" t="s">
        <v>554</v>
      </c>
      <c r="J260">
        <v>9167</v>
      </c>
      <c r="K260" t="s">
        <v>490</v>
      </c>
      <c r="L260">
        <v>1336082</v>
      </c>
      <c r="M260">
        <v>35</v>
      </c>
      <c r="N260">
        <v>160657</v>
      </c>
      <c r="P260">
        <v>317</v>
      </c>
      <c r="Q260">
        <v>347</v>
      </c>
      <c r="R260">
        <v>900</v>
      </c>
      <c r="S260" t="s">
        <v>768</v>
      </c>
      <c r="T260" t="s">
        <v>768</v>
      </c>
      <c r="V260" t="s">
        <v>48</v>
      </c>
      <c r="W260" t="s">
        <v>49</v>
      </c>
      <c r="Z260" t="s">
        <v>800</v>
      </c>
      <c r="AC260" t="s">
        <v>684</v>
      </c>
      <c r="AD260" t="s">
        <v>801</v>
      </c>
      <c r="AE260" t="s">
        <v>765</v>
      </c>
      <c r="AF260" t="s">
        <v>56</v>
      </c>
      <c r="AG260">
        <v>34</v>
      </c>
      <c r="AH260">
        <v>0.15040000000000001</v>
      </c>
      <c r="AI260">
        <v>-0.6018</v>
      </c>
      <c r="AJ260">
        <v>28837</v>
      </c>
      <c r="AK260">
        <v>130</v>
      </c>
      <c r="AL260">
        <v>230</v>
      </c>
      <c r="AM260">
        <v>675</v>
      </c>
      <c r="AP260" s="3">
        <v>44767</v>
      </c>
    </row>
    <row r="261" spans="1:42" ht="14.45" hidden="1" customHeight="1" x14ac:dyDescent="0.25">
      <c r="A261" t="s">
        <v>59</v>
      </c>
      <c r="D261" t="s">
        <v>551</v>
      </c>
      <c r="E261" t="s">
        <v>802</v>
      </c>
      <c r="F261" s="1">
        <v>44092</v>
      </c>
      <c r="G261" t="s">
        <v>44</v>
      </c>
      <c r="H261" t="s">
        <v>553</v>
      </c>
      <c r="I261" t="s">
        <v>554</v>
      </c>
      <c r="J261">
        <v>9170</v>
      </c>
      <c r="K261" t="s">
        <v>490</v>
      </c>
      <c r="L261">
        <v>1336085</v>
      </c>
      <c r="M261">
        <v>49</v>
      </c>
      <c r="N261">
        <v>160568</v>
      </c>
      <c r="P261">
        <v>311</v>
      </c>
      <c r="Q261">
        <v>341</v>
      </c>
      <c r="R261">
        <v>900</v>
      </c>
      <c r="S261" t="s">
        <v>768</v>
      </c>
      <c r="T261" t="s">
        <v>768</v>
      </c>
      <c r="V261" t="s">
        <v>48</v>
      </c>
      <c r="W261" t="s">
        <v>49</v>
      </c>
      <c r="Z261" t="s">
        <v>800</v>
      </c>
      <c r="AC261" t="s">
        <v>684</v>
      </c>
      <c r="AD261" t="s">
        <v>803</v>
      </c>
      <c r="AE261" t="s">
        <v>765</v>
      </c>
      <c r="AF261" t="s">
        <v>56</v>
      </c>
      <c r="AG261">
        <v>34</v>
      </c>
      <c r="AH261">
        <v>0.15040000000000001</v>
      </c>
      <c r="AI261">
        <v>-0.6018</v>
      </c>
      <c r="AJ261">
        <v>28837</v>
      </c>
      <c r="AK261">
        <v>130</v>
      </c>
      <c r="AL261">
        <v>230</v>
      </c>
      <c r="AM261">
        <v>675</v>
      </c>
      <c r="AP261" s="3">
        <v>44767</v>
      </c>
    </row>
    <row r="262" spans="1:42" ht="14.45" hidden="1" customHeight="1" x14ac:dyDescent="0.25">
      <c r="A262" t="s">
        <v>59</v>
      </c>
      <c r="D262" t="s">
        <v>551</v>
      </c>
      <c r="E262" t="s">
        <v>804</v>
      </c>
      <c r="F262" s="1">
        <v>44095</v>
      </c>
      <c r="G262" t="s">
        <v>44</v>
      </c>
      <c r="H262" t="s">
        <v>553</v>
      </c>
      <c r="I262" t="s">
        <v>554</v>
      </c>
      <c r="J262">
        <v>9169</v>
      </c>
      <c r="K262" t="s">
        <v>490</v>
      </c>
      <c r="L262">
        <v>1336084</v>
      </c>
      <c r="M262">
        <v>48</v>
      </c>
      <c r="N262">
        <v>160757</v>
      </c>
      <c r="P262">
        <v>294</v>
      </c>
      <c r="Q262">
        <v>330</v>
      </c>
      <c r="R262">
        <v>707</v>
      </c>
      <c r="S262" t="s">
        <v>768</v>
      </c>
      <c r="T262" t="s">
        <v>768</v>
      </c>
      <c r="V262" t="s">
        <v>48</v>
      </c>
      <c r="W262" t="s">
        <v>49</v>
      </c>
      <c r="Z262" t="s">
        <v>805</v>
      </c>
      <c r="AA262">
        <v>43.271906209999997</v>
      </c>
      <c r="AB262">
        <v>-79.869970870000003</v>
      </c>
      <c r="AC262" t="s">
        <v>684</v>
      </c>
      <c r="AD262" t="s">
        <v>806</v>
      </c>
      <c r="AE262" t="s">
        <v>765</v>
      </c>
      <c r="AF262" t="s">
        <v>56</v>
      </c>
      <c r="AG262">
        <v>34</v>
      </c>
      <c r="AH262">
        <v>0.15040000000000001</v>
      </c>
      <c r="AI262">
        <v>-0.6018</v>
      </c>
      <c r="AJ262">
        <v>28837</v>
      </c>
      <c r="AK262">
        <v>130</v>
      </c>
      <c r="AL262">
        <v>230</v>
      </c>
      <c r="AM262">
        <v>675</v>
      </c>
      <c r="AP262" s="3">
        <v>44770</v>
      </c>
    </row>
    <row r="263" spans="1:42" ht="14.45" hidden="1" customHeight="1" x14ac:dyDescent="0.25">
      <c r="A263" t="s">
        <v>59</v>
      </c>
      <c r="D263" t="s">
        <v>551</v>
      </c>
      <c r="E263" t="s">
        <v>807</v>
      </c>
      <c r="F263" s="1">
        <v>44095</v>
      </c>
      <c r="G263" t="s">
        <v>44</v>
      </c>
      <c r="H263" t="s">
        <v>553</v>
      </c>
      <c r="I263" t="s">
        <v>554</v>
      </c>
      <c r="J263">
        <v>9166</v>
      </c>
      <c r="K263" t="s">
        <v>490</v>
      </c>
      <c r="L263">
        <v>1336081</v>
      </c>
      <c r="M263">
        <v>46</v>
      </c>
      <c r="N263" t="s">
        <v>342</v>
      </c>
      <c r="P263">
        <v>312</v>
      </c>
      <c r="Q263">
        <v>340</v>
      </c>
      <c r="R263">
        <v>824</v>
      </c>
      <c r="S263" t="s">
        <v>768</v>
      </c>
      <c r="T263" t="s">
        <v>768</v>
      </c>
      <c r="V263" t="s">
        <v>48</v>
      </c>
      <c r="W263" t="s">
        <v>49</v>
      </c>
      <c r="Z263" t="s">
        <v>805</v>
      </c>
      <c r="AA263">
        <v>43.271906209999997</v>
      </c>
      <c r="AB263">
        <v>-79.869970870000003</v>
      </c>
      <c r="AC263" t="s">
        <v>684</v>
      </c>
      <c r="AD263" t="s">
        <v>808</v>
      </c>
      <c r="AE263" t="s">
        <v>765</v>
      </c>
      <c r="AF263" t="s">
        <v>56</v>
      </c>
      <c r="AG263">
        <v>34</v>
      </c>
      <c r="AH263">
        <v>0.15040000000000001</v>
      </c>
      <c r="AI263">
        <v>-0.6018</v>
      </c>
      <c r="AJ263">
        <v>28837</v>
      </c>
      <c r="AK263">
        <v>130</v>
      </c>
      <c r="AL263">
        <v>230</v>
      </c>
      <c r="AM263">
        <v>675</v>
      </c>
      <c r="AP263" s="3">
        <v>44770</v>
      </c>
    </row>
    <row r="264" spans="1:42" ht="14.45" hidden="1" customHeight="1" x14ac:dyDescent="0.25">
      <c r="A264" t="s">
        <v>59</v>
      </c>
      <c r="D264" t="s">
        <v>551</v>
      </c>
      <c r="E264" t="s">
        <v>799</v>
      </c>
      <c r="F264" s="1">
        <v>44095.447222222225</v>
      </c>
      <c r="G264" t="s">
        <v>44</v>
      </c>
      <c r="H264" t="s">
        <v>553</v>
      </c>
      <c r="I264" t="s">
        <v>554</v>
      </c>
      <c r="J264">
        <v>14167</v>
      </c>
      <c r="K264" t="s">
        <v>490</v>
      </c>
      <c r="L264">
        <v>1303932</v>
      </c>
      <c r="M264">
        <v>45</v>
      </c>
      <c r="N264">
        <v>160619</v>
      </c>
      <c r="P264">
        <v>330</v>
      </c>
      <c r="Q264">
        <v>360</v>
      </c>
      <c r="R264">
        <v>1090</v>
      </c>
      <c r="S264" t="s">
        <v>768</v>
      </c>
      <c r="T264" t="s">
        <v>768</v>
      </c>
      <c r="V264" t="s">
        <v>48</v>
      </c>
      <c r="W264" t="s">
        <v>49</v>
      </c>
      <c r="Z264" t="s">
        <v>805</v>
      </c>
      <c r="AA264">
        <v>43.271906209999997</v>
      </c>
      <c r="AB264">
        <v>-79.869970870000003</v>
      </c>
      <c r="AC264" t="s">
        <v>684</v>
      </c>
      <c r="AD264" t="s">
        <v>809</v>
      </c>
      <c r="AE264" t="s">
        <v>754</v>
      </c>
      <c r="AF264" t="s">
        <v>56</v>
      </c>
      <c r="AG264">
        <v>34</v>
      </c>
      <c r="AH264">
        <v>0.15160000000000001</v>
      </c>
      <c r="AI264">
        <v>-0.60650000000000004</v>
      </c>
      <c r="AJ264">
        <v>28837</v>
      </c>
      <c r="AK264">
        <v>130</v>
      </c>
      <c r="AL264">
        <v>230</v>
      </c>
      <c r="AM264">
        <v>675</v>
      </c>
      <c r="AP264" s="3">
        <v>44770</v>
      </c>
    </row>
    <row r="265" spans="1:42" hidden="1" x14ac:dyDescent="0.25">
      <c r="A265" t="s">
        <v>59</v>
      </c>
      <c r="D265" t="s">
        <v>43</v>
      </c>
      <c r="E265" t="s">
        <v>810</v>
      </c>
      <c r="F265" s="1">
        <v>44095</v>
      </c>
      <c r="G265" t="s">
        <v>44</v>
      </c>
      <c r="H265" t="s">
        <v>45</v>
      </c>
      <c r="I265" t="s">
        <v>46</v>
      </c>
      <c r="J265">
        <v>14168</v>
      </c>
      <c r="K265" t="s">
        <v>490</v>
      </c>
      <c r="L265">
        <v>1303993</v>
      </c>
      <c r="M265">
        <v>44</v>
      </c>
      <c r="N265" t="s">
        <v>811</v>
      </c>
      <c r="P265">
        <v>385</v>
      </c>
      <c r="Q265">
        <v>435</v>
      </c>
      <c r="R265">
        <v>2450</v>
      </c>
      <c r="S265" t="s">
        <v>768</v>
      </c>
      <c r="T265" t="s">
        <v>768</v>
      </c>
      <c r="V265" t="s">
        <v>48</v>
      </c>
      <c r="W265" t="s">
        <v>49</v>
      </c>
      <c r="Z265" t="s">
        <v>812</v>
      </c>
      <c r="AC265" t="s">
        <v>684</v>
      </c>
      <c r="AD265" t="s">
        <v>813</v>
      </c>
      <c r="AE265" t="s">
        <v>754</v>
      </c>
      <c r="AF265" t="s">
        <v>56</v>
      </c>
      <c r="AG265">
        <v>34</v>
      </c>
      <c r="AH265">
        <v>0.15160000000000001</v>
      </c>
      <c r="AI265">
        <v>-0.60650000000000004</v>
      </c>
      <c r="AJ265">
        <v>26153</v>
      </c>
      <c r="AK265">
        <v>130</v>
      </c>
      <c r="AL265">
        <v>270</v>
      </c>
      <c r="AM265">
        <v>1244</v>
      </c>
      <c r="AN265" t="s">
        <v>814</v>
      </c>
      <c r="AP265" s="3">
        <v>45339</v>
      </c>
    </row>
    <row r="266" spans="1:42" ht="14.45" hidden="1" customHeight="1" x14ac:dyDescent="0.25">
      <c r="A266" t="s">
        <v>59</v>
      </c>
      <c r="D266" t="s">
        <v>551</v>
      </c>
      <c r="E266" t="s">
        <v>815</v>
      </c>
      <c r="F266" s="1">
        <v>44095</v>
      </c>
      <c r="G266" t="s">
        <v>44</v>
      </c>
      <c r="H266" t="s">
        <v>553</v>
      </c>
      <c r="I266" t="s">
        <v>554</v>
      </c>
      <c r="J266">
        <v>9165</v>
      </c>
      <c r="K266" t="s">
        <v>490</v>
      </c>
      <c r="L266">
        <v>1336080</v>
      </c>
      <c r="M266">
        <v>63</v>
      </c>
      <c r="N266">
        <v>160601</v>
      </c>
      <c r="P266">
        <v>310</v>
      </c>
      <c r="Q266">
        <v>339</v>
      </c>
      <c r="R266">
        <v>970</v>
      </c>
      <c r="S266" t="s">
        <v>768</v>
      </c>
      <c r="T266" t="s">
        <v>768</v>
      </c>
      <c r="V266" t="s">
        <v>48</v>
      </c>
      <c r="W266" t="s">
        <v>49</v>
      </c>
      <c r="Z266" t="s">
        <v>816</v>
      </c>
      <c r="AA266">
        <v>43.271667579999999</v>
      </c>
      <c r="AB266">
        <v>-79.876683439999994</v>
      </c>
      <c r="AC266" t="s">
        <v>684</v>
      </c>
      <c r="AD266" t="s">
        <v>817</v>
      </c>
      <c r="AE266" t="s">
        <v>765</v>
      </c>
      <c r="AF266" t="s">
        <v>56</v>
      </c>
      <c r="AG266">
        <v>34</v>
      </c>
      <c r="AH266">
        <v>0.15040000000000001</v>
      </c>
      <c r="AI266">
        <v>-0.6018</v>
      </c>
      <c r="AJ266">
        <v>28837</v>
      </c>
      <c r="AK266">
        <v>130</v>
      </c>
      <c r="AL266">
        <v>230</v>
      </c>
      <c r="AM266">
        <v>675</v>
      </c>
      <c r="AP266" s="3">
        <v>44770</v>
      </c>
    </row>
    <row r="267" spans="1:42" hidden="1" x14ac:dyDescent="0.25">
      <c r="A267" t="s">
        <v>59</v>
      </c>
      <c r="D267" t="s">
        <v>43</v>
      </c>
      <c r="E267" t="s">
        <v>818</v>
      </c>
      <c r="F267" s="1">
        <v>44095</v>
      </c>
      <c r="G267" t="s">
        <v>44</v>
      </c>
      <c r="H267" t="s">
        <v>45</v>
      </c>
      <c r="I267" t="s">
        <v>46</v>
      </c>
      <c r="J267">
        <v>14169</v>
      </c>
      <c r="K267" t="s">
        <v>490</v>
      </c>
      <c r="L267">
        <v>1303934</v>
      </c>
      <c r="M267">
        <v>42</v>
      </c>
      <c r="N267">
        <v>160603</v>
      </c>
      <c r="P267">
        <v>423</v>
      </c>
      <c r="Q267">
        <v>600</v>
      </c>
      <c r="R267">
        <v>860</v>
      </c>
      <c r="S267" t="s">
        <v>768</v>
      </c>
      <c r="T267" t="s">
        <v>768</v>
      </c>
      <c r="V267" t="s">
        <v>48</v>
      </c>
      <c r="W267" t="s">
        <v>49</v>
      </c>
      <c r="Z267" t="s">
        <v>819</v>
      </c>
      <c r="AA267">
        <v>43.272544320000002</v>
      </c>
      <c r="AB267">
        <v>-79.884485229999996</v>
      </c>
      <c r="AC267" t="s">
        <v>684</v>
      </c>
      <c r="AD267" t="s">
        <v>820</v>
      </c>
      <c r="AE267" t="s">
        <v>754</v>
      </c>
      <c r="AF267" t="s">
        <v>56</v>
      </c>
      <c r="AG267">
        <v>34</v>
      </c>
      <c r="AH267">
        <v>0.15160000000000001</v>
      </c>
      <c r="AI267">
        <v>-0.60650000000000004</v>
      </c>
      <c r="AJ267">
        <v>26153</v>
      </c>
      <c r="AK267">
        <v>130</v>
      </c>
      <c r="AL267">
        <v>270</v>
      </c>
      <c r="AM267">
        <v>1244</v>
      </c>
      <c r="AP267" s="3">
        <v>45339</v>
      </c>
    </row>
    <row r="268" spans="1:42" ht="14.45" customHeight="1" x14ac:dyDescent="0.25">
      <c r="A268" t="s">
        <v>59</v>
      </c>
      <c r="D268" t="s">
        <v>607</v>
      </c>
      <c r="E268" t="s">
        <v>821</v>
      </c>
      <c r="F268" s="1">
        <v>44096</v>
      </c>
      <c r="G268" t="s">
        <v>44</v>
      </c>
      <c r="H268" t="s">
        <v>607</v>
      </c>
      <c r="I268" t="s">
        <v>779</v>
      </c>
      <c r="J268">
        <v>9164</v>
      </c>
      <c r="K268" t="s">
        <v>490</v>
      </c>
      <c r="L268">
        <v>1336079</v>
      </c>
      <c r="M268">
        <v>41</v>
      </c>
      <c r="N268">
        <v>160818</v>
      </c>
      <c r="P268">
        <v>348</v>
      </c>
      <c r="Q268">
        <v>390</v>
      </c>
      <c r="R268">
        <v>1150</v>
      </c>
      <c r="S268" t="s">
        <v>768</v>
      </c>
      <c r="T268" t="s">
        <v>768</v>
      </c>
      <c r="V268" t="s">
        <v>48</v>
      </c>
      <c r="W268" t="s">
        <v>49</v>
      </c>
      <c r="X268" t="s">
        <v>50</v>
      </c>
      <c r="Z268" t="s">
        <v>822</v>
      </c>
      <c r="AA268">
        <v>43.300870959999997</v>
      </c>
      <c r="AB268">
        <v>-79.803702790000003</v>
      </c>
      <c r="AC268" t="s">
        <v>684</v>
      </c>
      <c r="AD268" t="s">
        <v>823</v>
      </c>
      <c r="AE268" t="s">
        <v>765</v>
      </c>
      <c r="AF268" t="s">
        <v>56</v>
      </c>
      <c r="AG268">
        <v>34</v>
      </c>
      <c r="AH268">
        <v>0.15040000000000001</v>
      </c>
      <c r="AI268">
        <v>-0.6018</v>
      </c>
      <c r="AJ268">
        <v>28837</v>
      </c>
      <c r="AK268">
        <v>130</v>
      </c>
      <c r="AL268">
        <v>230</v>
      </c>
      <c r="AM268">
        <v>675</v>
      </c>
      <c r="AP268" s="3">
        <v>44771</v>
      </c>
    </row>
    <row r="269" spans="1:42" hidden="1" x14ac:dyDescent="0.25">
      <c r="A269" t="s">
        <v>59</v>
      </c>
      <c r="D269" t="s">
        <v>43</v>
      </c>
      <c r="E269" t="s">
        <v>824</v>
      </c>
      <c r="F269" s="1">
        <v>44096</v>
      </c>
      <c r="G269" t="s">
        <v>44</v>
      </c>
      <c r="H269" t="s">
        <v>45</v>
      </c>
      <c r="I269" t="s">
        <v>46</v>
      </c>
      <c r="J269">
        <v>14171</v>
      </c>
      <c r="K269" t="s">
        <v>490</v>
      </c>
      <c r="L269">
        <v>1303936</v>
      </c>
      <c r="M269">
        <v>40</v>
      </c>
      <c r="N269">
        <v>160506</v>
      </c>
      <c r="P269">
        <v>451</v>
      </c>
      <c r="Q269">
        <v>429</v>
      </c>
      <c r="R269">
        <v>1130</v>
      </c>
      <c r="S269" t="s">
        <v>768</v>
      </c>
      <c r="T269" t="s">
        <v>768</v>
      </c>
      <c r="V269" t="s">
        <v>48</v>
      </c>
      <c r="W269" t="s">
        <v>49</v>
      </c>
      <c r="X269" t="s">
        <v>50</v>
      </c>
      <c r="Z269" t="s">
        <v>822</v>
      </c>
      <c r="AA269">
        <v>43.300870959999997</v>
      </c>
      <c r="AB269">
        <v>-79.803702790000003</v>
      </c>
      <c r="AC269" t="s">
        <v>684</v>
      </c>
      <c r="AD269" t="s">
        <v>825</v>
      </c>
      <c r="AE269" t="s">
        <v>754</v>
      </c>
      <c r="AF269" t="s">
        <v>56</v>
      </c>
      <c r="AG269">
        <v>34</v>
      </c>
      <c r="AH269">
        <v>0.15160000000000001</v>
      </c>
      <c r="AI269">
        <v>-0.60650000000000004</v>
      </c>
      <c r="AJ269">
        <v>26153</v>
      </c>
      <c r="AK269">
        <v>130</v>
      </c>
      <c r="AL269">
        <v>270</v>
      </c>
      <c r="AM269">
        <v>1244</v>
      </c>
      <c r="AP269" s="3">
        <v>45340</v>
      </c>
    </row>
    <row r="270" spans="1:42" ht="14.45" hidden="1" customHeight="1" x14ac:dyDescent="0.25">
      <c r="A270" t="s">
        <v>59</v>
      </c>
      <c r="D270" t="s">
        <v>122</v>
      </c>
      <c r="E270" t="s">
        <v>826</v>
      </c>
      <c r="F270" s="1">
        <v>44097</v>
      </c>
      <c r="G270" t="s">
        <v>44</v>
      </c>
      <c r="H270" t="s">
        <v>124</v>
      </c>
      <c r="I270" t="s">
        <v>125</v>
      </c>
      <c r="J270">
        <v>14236</v>
      </c>
      <c r="K270" t="s">
        <v>490</v>
      </c>
      <c r="L270">
        <v>1302729</v>
      </c>
      <c r="M270">
        <v>38</v>
      </c>
      <c r="N270">
        <v>160835</v>
      </c>
      <c r="P270">
        <v>675</v>
      </c>
      <c r="Q270">
        <v>713</v>
      </c>
      <c r="R270">
        <v>2350</v>
      </c>
      <c r="S270" t="s">
        <v>768</v>
      </c>
      <c r="T270" t="s">
        <v>768</v>
      </c>
      <c r="V270" t="s">
        <v>48</v>
      </c>
      <c r="W270" t="s">
        <v>49</v>
      </c>
      <c r="X270" t="s">
        <v>50</v>
      </c>
      <c r="Z270" t="s">
        <v>827</v>
      </c>
      <c r="AA270">
        <v>43.269699840000001</v>
      </c>
      <c r="AB270">
        <v>-79.873788750000003</v>
      </c>
      <c r="AC270" t="s">
        <v>684</v>
      </c>
      <c r="AD270" t="str">
        <f>CONCATENATE(K270,"-",J270)</f>
        <v>A69-9006-14236</v>
      </c>
      <c r="AE270" t="s">
        <v>761</v>
      </c>
      <c r="AF270" t="s">
        <v>56</v>
      </c>
      <c r="AG270">
        <v>34</v>
      </c>
      <c r="AH270">
        <v>0.15160000000000001</v>
      </c>
      <c r="AI270">
        <v>-0.60650000000000004</v>
      </c>
      <c r="AJ270" t="s">
        <v>747</v>
      </c>
      <c r="AK270">
        <v>130</v>
      </c>
      <c r="AL270">
        <v>270</v>
      </c>
      <c r="AM270">
        <v>1244</v>
      </c>
      <c r="AN270" t="s">
        <v>828</v>
      </c>
      <c r="AP270" s="3">
        <f>F270+AM270</f>
        <v>45341</v>
      </c>
    </row>
    <row r="271" spans="1:42" ht="14.45" hidden="1" customHeight="1" x14ac:dyDescent="0.25">
      <c r="A271" t="s">
        <v>59</v>
      </c>
      <c r="D271" t="s">
        <v>122</v>
      </c>
      <c r="E271" t="s">
        <v>829</v>
      </c>
      <c r="F271" s="1">
        <v>44097</v>
      </c>
      <c r="G271" t="s">
        <v>44</v>
      </c>
      <c r="H271" t="s">
        <v>124</v>
      </c>
      <c r="I271" t="s">
        <v>125</v>
      </c>
      <c r="J271">
        <v>14170</v>
      </c>
      <c r="K271" t="s">
        <v>490</v>
      </c>
      <c r="L271">
        <v>1303935</v>
      </c>
      <c r="M271">
        <v>75</v>
      </c>
      <c r="N271">
        <v>160661</v>
      </c>
      <c r="P271">
        <v>665</v>
      </c>
      <c r="Q271">
        <v>710</v>
      </c>
      <c r="R271">
        <v>2220</v>
      </c>
      <c r="S271" t="s">
        <v>768</v>
      </c>
      <c r="T271" t="s">
        <v>768</v>
      </c>
      <c r="V271" t="s">
        <v>48</v>
      </c>
      <c r="W271" t="s">
        <v>49</v>
      </c>
      <c r="X271" t="s">
        <v>50</v>
      </c>
      <c r="Z271" t="s">
        <v>830</v>
      </c>
      <c r="AC271" t="s">
        <v>684</v>
      </c>
      <c r="AD271" t="s">
        <v>831</v>
      </c>
      <c r="AE271" t="s">
        <v>754</v>
      </c>
      <c r="AF271" t="s">
        <v>56</v>
      </c>
      <c r="AG271">
        <v>34</v>
      </c>
      <c r="AH271">
        <v>0.15160000000000001</v>
      </c>
      <c r="AI271">
        <v>-0.60650000000000004</v>
      </c>
      <c r="AJ271">
        <v>26153</v>
      </c>
      <c r="AK271">
        <v>130</v>
      </c>
      <c r="AL271">
        <v>270</v>
      </c>
      <c r="AM271">
        <v>1244</v>
      </c>
      <c r="AP271" s="3">
        <v>45341</v>
      </c>
    </row>
    <row r="272" spans="1:42" hidden="1" x14ac:dyDescent="0.25">
      <c r="A272" t="s">
        <v>59</v>
      </c>
      <c r="D272" t="s">
        <v>43</v>
      </c>
      <c r="E272" t="s">
        <v>832</v>
      </c>
      <c r="F272" s="1">
        <v>44097</v>
      </c>
      <c r="G272" t="s">
        <v>44</v>
      </c>
      <c r="H272" t="s">
        <v>45</v>
      </c>
      <c r="I272" t="s">
        <v>46</v>
      </c>
      <c r="J272">
        <v>14244</v>
      </c>
      <c r="K272" t="s">
        <v>490</v>
      </c>
      <c r="L272">
        <v>1302737</v>
      </c>
      <c r="M272">
        <v>100</v>
      </c>
      <c r="N272">
        <v>160875</v>
      </c>
      <c r="P272">
        <v>419</v>
      </c>
      <c r="Q272">
        <v>442</v>
      </c>
      <c r="R272">
        <v>845</v>
      </c>
      <c r="S272" t="s">
        <v>768</v>
      </c>
      <c r="T272" t="s">
        <v>768</v>
      </c>
      <c r="V272" t="s">
        <v>48</v>
      </c>
      <c r="W272" t="s">
        <v>49</v>
      </c>
      <c r="X272" t="s">
        <v>50</v>
      </c>
      <c r="Z272" t="s">
        <v>833</v>
      </c>
      <c r="AC272" t="s">
        <v>684</v>
      </c>
      <c r="AD272" t="str">
        <f>CONCATENATE(K272,"-",J272)</f>
        <v>A69-9006-14244</v>
      </c>
      <c r="AE272" t="s">
        <v>761</v>
      </c>
      <c r="AF272" t="s">
        <v>56</v>
      </c>
      <c r="AG272">
        <v>34</v>
      </c>
      <c r="AH272">
        <v>0.15160000000000001</v>
      </c>
      <c r="AI272">
        <v>-0.60650000000000004</v>
      </c>
      <c r="AJ272" t="s">
        <v>747</v>
      </c>
      <c r="AK272">
        <v>130</v>
      </c>
      <c r="AL272">
        <v>270</v>
      </c>
      <c r="AM272">
        <v>1244</v>
      </c>
      <c r="AP272" s="3">
        <f>F272+AM272</f>
        <v>45341</v>
      </c>
    </row>
    <row r="273" spans="1:42" ht="14.45" hidden="1" customHeight="1" x14ac:dyDescent="0.25">
      <c r="A273" t="s">
        <v>59</v>
      </c>
      <c r="D273" t="s">
        <v>122</v>
      </c>
      <c r="E273" t="s">
        <v>834</v>
      </c>
      <c r="F273" s="1">
        <v>44097</v>
      </c>
      <c r="G273" t="s">
        <v>44</v>
      </c>
      <c r="H273" t="s">
        <v>124</v>
      </c>
      <c r="I273" t="s">
        <v>125</v>
      </c>
      <c r="J273">
        <v>14175</v>
      </c>
      <c r="K273" t="s">
        <v>490</v>
      </c>
      <c r="L273">
        <v>1303940</v>
      </c>
      <c r="M273">
        <v>74</v>
      </c>
      <c r="N273">
        <v>160441</v>
      </c>
      <c r="P273">
        <v>535</v>
      </c>
      <c r="Q273">
        <v>565</v>
      </c>
      <c r="R273">
        <v>1290</v>
      </c>
      <c r="S273" t="s">
        <v>768</v>
      </c>
      <c r="T273" t="s">
        <v>768</v>
      </c>
      <c r="V273" t="s">
        <v>48</v>
      </c>
      <c r="W273" t="s">
        <v>49</v>
      </c>
      <c r="X273" t="s">
        <v>50</v>
      </c>
      <c r="Z273" t="s">
        <v>835</v>
      </c>
      <c r="AC273" t="s">
        <v>684</v>
      </c>
      <c r="AD273" t="s">
        <v>836</v>
      </c>
      <c r="AE273" t="s">
        <v>754</v>
      </c>
      <c r="AF273" t="s">
        <v>56</v>
      </c>
      <c r="AG273">
        <v>34</v>
      </c>
      <c r="AH273">
        <v>0.15160000000000001</v>
      </c>
      <c r="AI273">
        <v>-0.60650000000000004</v>
      </c>
      <c r="AJ273">
        <v>26153</v>
      </c>
      <c r="AK273">
        <v>130</v>
      </c>
      <c r="AL273">
        <v>270</v>
      </c>
      <c r="AM273">
        <v>1244</v>
      </c>
      <c r="AN273" t="s">
        <v>837</v>
      </c>
      <c r="AP273" s="3">
        <v>45341</v>
      </c>
    </row>
    <row r="274" spans="1:42" ht="14.45" customHeight="1" x14ac:dyDescent="0.25">
      <c r="A274" t="s">
        <v>59</v>
      </c>
      <c r="D274" t="s">
        <v>607</v>
      </c>
      <c r="E274" t="s">
        <v>838</v>
      </c>
      <c r="F274" s="1">
        <v>44098</v>
      </c>
      <c r="G274" t="s">
        <v>44</v>
      </c>
      <c r="H274" t="s">
        <v>607</v>
      </c>
      <c r="I274" t="s">
        <v>779</v>
      </c>
      <c r="J274">
        <v>9163</v>
      </c>
      <c r="K274" t="s">
        <v>490</v>
      </c>
      <c r="L274">
        <v>1336078</v>
      </c>
      <c r="M274">
        <v>72</v>
      </c>
      <c r="N274">
        <v>160590</v>
      </c>
      <c r="P274">
        <v>265</v>
      </c>
      <c r="Q274">
        <v>303</v>
      </c>
      <c r="R274">
        <v>431</v>
      </c>
      <c r="S274" t="s">
        <v>768</v>
      </c>
      <c r="T274" t="s">
        <v>768</v>
      </c>
      <c r="V274" t="s">
        <v>48</v>
      </c>
      <c r="W274" t="s">
        <v>49</v>
      </c>
      <c r="X274" t="s">
        <v>50</v>
      </c>
      <c r="Z274" t="s">
        <v>839</v>
      </c>
      <c r="AC274" t="s">
        <v>684</v>
      </c>
      <c r="AD274" t="s">
        <v>840</v>
      </c>
      <c r="AE274" t="s">
        <v>765</v>
      </c>
      <c r="AF274" t="s">
        <v>56</v>
      </c>
      <c r="AG274">
        <v>34</v>
      </c>
      <c r="AH274">
        <v>0.15040000000000001</v>
      </c>
      <c r="AI274">
        <v>-0.6018</v>
      </c>
      <c r="AJ274">
        <v>28837</v>
      </c>
      <c r="AK274">
        <v>130</v>
      </c>
      <c r="AL274">
        <v>230</v>
      </c>
      <c r="AM274">
        <v>675</v>
      </c>
      <c r="AP274" s="3">
        <v>44773</v>
      </c>
    </row>
    <row r="275" spans="1:42" hidden="1" x14ac:dyDescent="0.25">
      <c r="A275" t="s">
        <v>59</v>
      </c>
      <c r="D275" t="s">
        <v>43</v>
      </c>
      <c r="E275" t="s">
        <v>841</v>
      </c>
      <c r="F275" s="1">
        <v>44098</v>
      </c>
      <c r="G275" t="s">
        <v>44</v>
      </c>
      <c r="H275" t="s">
        <v>45</v>
      </c>
      <c r="I275" t="s">
        <v>46</v>
      </c>
      <c r="J275">
        <v>14174</v>
      </c>
      <c r="K275" t="s">
        <v>490</v>
      </c>
      <c r="L275">
        <v>1303939</v>
      </c>
      <c r="M275">
        <v>71</v>
      </c>
      <c r="N275">
        <v>160474</v>
      </c>
      <c r="P275">
        <v>548</v>
      </c>
      <c r="Q275">
        <v>582</v>
      </c>
      <c r="R275">
        <v>2540</v>
      </c>
      <c r="S275" t="s">
        <v>768</v>
      </c>
      <c r="T275" t="s">
        <v>768</v>
      </c>
      <c r="V275" t="s">
        <v>48</v>
      </c>
      <c r="W275" t="s">
        <v>49</v>
      </c>
      <c r="X275" t="s">
        <v>50</v>
      </c>
      <c r="Z275" t="s">
        <v>842</v>
      </c>
      <c r="AA275">
        <v>43.275247489999998</v>
      </c>
      <c r="AB275">
        <v>-79.868512839999994</v>
      </c>
      <c r="AC275" t="s">
        <v>684</v>
      </c>
      <c r="AD275" t="s">
        <v>843</v>
      </c>
      <c r="AE275" t="s">
        <v>754</v>
      </c>
      <c r="AF275" t="s">
        <v>56</v>
      </c>
      <c r="AG275">
        <v>34</v>
      </c>
      <c r="AH275">
        <v>0.15160000000000001</v>
      </c>
      <c r="AI275">
        <v>-0.60650000000000004</v>
      </c>
      <c r="AJ275">
        <v>26153</v>
      </c>
      <c r="AK275">
        <v>130</v>
      </c>
      <c r="AL275">
        <v>270</v>
      </c>
      <c r="AM275">
        <v>1244</v>
      </c>
      <c r="AP275" s="3">
        <v>45342</v>
      </c>
    </row>
    <row r="276" spans="1:42" hidden="1" x14ac:dyDescent="0.25">
      <c r="A276" t="s">
        <v>59</v>
      </c>
      <c r="D276" t="s">
        <v>43</v>
      </c>
      <c r="E276" t="s">
        <v>844</v>
      </c>
      <c r="F276" s="1">
        <v>44098</v>
      </c>
      <c r="G276" t="s">
        <v>44</v>
      </c>
      <c r="H276" t="s">
        <v>45</v>
      </c>
      <c r="I276" t="s">
        <v>46</v>
      </c>
      <c r="J276">
        <v>12559</v>
      </c>
      <c r="K276" t="s">
        <v>490</v>
      </c>
      <c r="L276">
        <v>1336213</v>
      </c>
      <c r="M276">
        <v>96</v>
      </c>
      <c r="N276">
        <v>160710</v>
      </c>
      <c r="P276">
        <v>595</v>
      </c>
      <c r="Q276">
        <v>650</v>
      </c>
      <c r="R276">
        <v>3060</v>
      </c>
      <c r="S276" t="s">
        <v>768</v>
      </c>
      <c r="T276" t="s">
        <v>768</v>
      </c>
      <c r="V276" t="s">
        <v>48</v>
      </c>
      <c r="W276" t="s">
        <v>49</v>
      </c>
      <c r="X276" t="s">
        <v>50</v>
      </c>
      <c r="Z276" t="s">
        <v>845</v>
      </c>
      <c r="AC276" t="s">
        <v>684</v>
      </c>
      <c r="AD276" t="s">
        <v>846</v>
      </c>
      <c r="AE276" t="s">
        <v>754</v>
      </c>
      <c r="AF276" t="s">
        <v>56</v>
      </c>
      <c r="AG276">
        <v>34</v>
      </c>
      <c r="AH276">
        <v>0.15160000000000001</v>
      </c>
      <c r="AI276">
        <v>-0.60650000000000004</v>
      </c>
      <c r="AJ276">
        <v>28841</v>
      </c>
      <c r="AK276">
        <v>130</v>
      </c>
      <c r="AL276">
        <v>270</v>
      </c>
      <c r="AM276">
        <v>1244</v>
      </c>
      <c r="AP276" s="3">
        <v>45342</v>
      </c>
    </row>
    <row r="277" spans="1:42" hidden="1" x14ac:dyDescent="0.25">
      <c r="A277" t="s">
        <v>59</v>
      </c>
      <c r="D277" t="s">
        <v>43</v>
      </c>
      <c r="E277" t="s">
        <v>847</v>
      </c>
      <c r="F277" s="1">
        <v>44098</v>
      </c>
      <c r="G277" t="s">
        <v>44</v>
      </c>
      <c r="H277" t="s">
        <v>45</v>
      </c>
      <c r="I277" t="s">
        <v>46</v>
      </c>
      <c r="J277">
        <v>12560</v>
      </c>
      <c r="K277" t="s">
        <v>490</v>
      </c>
      <c r="L277">
        <v>1336214</v>
      </c>
      <c r="M277">
        <v>70</v>
      </c>
      <c r="N277">
        <v>160540</v>
      </c>
      <c r="P277">
        <v>617</v>
      </c>
      <c r="Q277">
        <v>648</v>
      </c>
      <c r="R277">
        <v>3030</v>
      </c>
      <c r="S277" t="s">
        <v>768</v>
      </c>
      <c r="T277" t="s">
        <v>768</v>
      </c>
      <c r="V277" t="s">
        <v>48</v>
      </c>
      <c r="W277" t="s">
        <v>49</v>
      </c>
      <c r="X277" t="s">
        <v>50</v>
      </c>
      <c r="Z277" t="s">
        <v>845</v>
      </c>
      <c r="AC277" t="s">
        <v>684</v>
      </c>
      <c r="AD277" t="s">
        <v>848</v>
      </c>
      <c r="AE277" t="s">
        <v>754</v>
      </c>
      <c r="AF277" t="s">
        <v>56</v>
      </c>
      <c r="AG277">
        <v>34</v>
      </c>
      <c r="AH277">
        <v>0.15160000000000001</v>
      </c>
      <c r="AI277">
        <v>-0.60650000000000004</v>
      </c>
      <c r="AJ277">
        <v>28841</v>
      </c>
      <c r="AK277">
        <v>130</v>
      </c>
      <c r="AL277">
        <v>270</v>
      </c>
      <c r="AM277">
        <v>1244</v>
      </c>
      <c r="AP277" s="3">
        <v>45342</v>
      </c>
    </row>
    <row r="278" spans="1:42" hidden="1" x14ac:dyDescent="0.25">
      <c r="A278" t="s">
        <v>59</v>
      </c>
      <c r="D278" t="s">
        <v>43</v>
      </c>
      <c r="E278" t="s">
        <v>849</v>
      </c>
      <c r="F278" s="1">
        <v>44098</v>
      </c>
      <c r="G278" t="s">
        <v>44</v>
      </c>
      <c r="H278" t="s">
        <v>45</v>
      </c>
      <c r="I278" t="s">
        <v>46</v>
      </c>
      <c r="J278">
        <v>12561</v>
      </c>
      <c r="K278" t="s">
        <v>490</v>
      </c>
      <c r="L278">
        <v>1336215</v>
      </c>
      <c r="M278">
        <v>95</v>
      </c>
      <c r="N278">
        <v>160764</v>
      </c>
      <c r="P278">
        <v>587</v>
      </c>
      <c r="Q278">
        <v>622</v>
      </c>
      <c r="R278">
        <v>2970</v>
      </c>
      <c r="S278" t="s">
        <v>768</v>
      </c>
      <c r="T278" t="s">
        <v>768</v>
      </c>
      <c r="V278" t="s">
        <v>48</v>
      </c>
      <c r="W278" t="s">
        <v>49</v>
      </c>
      <c r="X278" t="s">
        <v>50</v>
      </c>
      <c r="Z278" t="s">
        <v>845</v>
      </c>
      <c r="AC278" t="s">
        <v>684</v>
      </c>
      <c r="AD278" t="s">
        <v>850</v>
      </c>
      <c r="AE278" t="s">
        <v>754</v>
      </c>
      <c r="AF278" t="s">
        <v>56</v>
      </c>
      <c r="AG278">
        <v>34</v>
      </c>
      <c r="AH278">
        <v>0.15160000000000001</v>
      </c>
      <c r="AI278">
        <v>-0.60650000000000004</v>
      </c>
      <c r="AJ278">
        <v>28841</v>
      </c>
      <c r="AK278">
        <v>130</v>
      </c>
      <c r="AL278">
        <v>270</v>
      </c>
      <c r="AM278">
        <v>1244</v>
      </c>
      <c r="AP278" s="3">
        <v>45342</v>
      </c>
    </row>
    <row r="279" spans="1:42" ht="14.45" hidden="1" customHeight="1" x14ac:dyDescent="0.25">
      <c r="A279" t="s">
        <v>59</v>
      </c>
      <c r="D279" t="s">
        <v>851</v>
      </c>
      <c r="E279" t="s">
        <v>852</v>
      </c>
      <c r="F279" s="1">
        <v>44098</v>
      </c>
      <c r="G279" t="s">
        <v>44</v>
      </c>
      <c r="H279" t="s">
        <v>580</v>
      </c>
      <c r="I279" t="s">
        <v>581</v>
      </c>
      <c r="J279">
        <v>12562</v>
      </c>
      <c r="K279" t="s">
        <v>490</v>
      </c>
      <c r="L279">
        <v>1336216</v>
      </c>
      <c r="M279">
        <v>69</v>
      </c>
      <c r="N279">
        <v>160758</v>
      </c>
      <c r="P279">
        <v>433</v>
      </c>
      <c r="Q279">
        <v>457</v>
      </c>
      <c r="R279">
        <v>1850</v>
      </c>
      <c r="S279" t="s">
        <v>768</v>
      </c>
      <c r="T279" t="s">
        <v>768</v>
      </c>
      <c r="V279" t="s">
        <v>48</v>
      </c>
      <c r="W279" t="s">
        <v>49</v>
      </c>
      <c r="X279" t="s">
        <v>50</v>
      </c>
      <c r="Z279" t="s">
        <v>845</v>
      </c>
      <c r="AC279" t="s">
        <v>684</v>
      </c>
      <c r="AD279" t="s">
        <v>853</v>
      </c>
      <c r="AE279" t="s">
        <v>754</v>
      </c>
      <c r="AF279" t="s">
        <v>56</v>
      </c>
      <c r="AG279">
        <v>34</v>
      </c>
      <c r="AH279">
        <v>0.15160000000000001</v>
      </c>
      <c r="AI279">
        <v>-0.60650000000000004</v>
      </c>
      <c r="AJ279">
        <v>28841</v>
      </c>
      <c r="AK279">
        <v>130</v>
      </c>
      <c r="AL279">
        <v>270</v>
      </c>
      <c r="AM279">
        <v>1244</v>
      </c>
      <c r="AP279" s="3">
        <v>45342</v>
      </c>
    </row>
    <row r="280" spans="1:42" hidden="1" x14ac:dyDescent="0.25">
      <c r="A280" t="s">
        <v>59</v>
      </c>
      <c r="D280" t="s">
        <v>43</v>
      </c>
      <c r="E280" t="s">
        <v>854</v>
      </c>
      <c r="F280" s="1">
        <v>44098</v>
      </c>
      <c r="G280" t="s">
        <v>44</v>
      </c>
      <c r="H280" t="s">
        <v>45</v>
      </c>
      <c r="I280" t="s">
        <v>46</v>
      </c>
      <c r="J280">
        <v>12555</v>
      </c>
      <c r="K280" t="s">
        <v>490</v>
      </c>
      <c r="L280">
        <v>1336209</v>
      </c>
      <c r="M280">
        <v>94</v>
      </c>
      <c r="N280">
        <v>160794</v>
      </c>
      <c r="P280">
        <v>422</v>
      </c>
      <c r="Q280">
        <v>446</v>
      </c>
      <c r="R280">
        <v>880</v>
      </c>
      <c r="S280" t="s">
        <v>768</v>
      </c>
      <c r="T280" t="s">
        <v>768</v>
      </c>
      <c r="V280" t="s">
        <v>48</v>
      </c>
      <c r="W280" t="s">
        <v>49</v>
      </c>
      <c r="X280" t="s">
        <v>50</v>
      </c>
      <c r="Z280" t="s">
        <v>855</v>
      </c>
      <c r="AC280" t="s">
        <v>684</v>
      </c>
      <c r="AD280" t="s">
        <v>856</v>
      </c>
      <c r="AE280" t="s">
        <v>754</v>
      </c>
      <c r="AF280" t="s">
        <v>56</v>
      </c>
      <c r="AG280">
        <v>34</v>
      </c>
      <c r="AH280">
        <v>0.15160000000000001</v>
      </c>
      <c r="AI280">
        <v>-0.60650000000000004</v>
      </c>
      <c r="AJ280">
        <v>28841</v>
      </c>
      <c r="AK280">
        <v>130</v>
      </c>
      <c r="AL280">
        <v>270</v>
      </c>
      <c r="AM280">
        <v>1244</v>
      </c>
      <c r="AP280" s="3">
        <v>45342</v>
      </c>
    </row>
    <row r="281" spans="1:42" ht="14.45" customHeight="1" x14ac:dyDescent="0.25">
      <c r="A281" t="s">
        <v>59</v>
      </c>
      <c r="D281" t="s">
        <v>607</v>
      </c>
      <c r="E281" t="s">
        <v>857</v>
      </c>
      <c r="F281" s="1">
        <v>44098</v>
      </c>
      <c r="G281" t="s">
        <v>44</v>
      </c>
      <c r="H281" t="s">
        <v>607</v>
      </c>
      <c r="I281" t="s">
        <v>779</v>
      </c>
      <c r="J281">
        <v>9162</v>
      </c>
      <c r="K281" t="s">
        <v>490</v>
      </c>
      <c r="L281">
        <v>1336077</v>
      </c>
      <c r="M281">
        <v>68</v>
      </c>
      <c r="N281">
        <v>160399</v>
      </c>
      <c r="P281">
        <v>248</v>
      </c>
      <c r="Q281">
        <v>271</v>
      </c>
      <c r="R281">
        <v>362</v>
      </c>
      <c r="S281" t="s">
        <v>768</v>
      </c>
      <c r="T281" t="s">
        <v>768</v>
      </c>
      <c r="V281" t="s">
        <v>48</v>
      </c>
      <c r="W281" t="s">
        <v>49</v>
      </c>
      <c r="X281" t="s">
        <v>50</v>
      </c>
      <c r="Z281" t="s">
        <v>858</v>
      </c>
      <c r="AC281" t="s">
        <v>684</v>
      </c>
      <c r="AD281" t="s">
        <v>859</v>
      </c>
      <c r="AE281" t="s">
        <v>765</v>
      </c>
      <c r="AF281" t="s">
        <v>56</v>
      </c>
      <c r="AG281">
        <v>34</v>
      </c>
      <c r="AH281">
        <v>0.15040000000000001</v>
      </c>
      <c r="AI281">
        <v>-0.6018</v>
      </c>
      <c r="AJ281">
        <v>28837</v>
      </c>
      <c r="AK281">
        <v>130</v>
      </c>
      <c r="AL281">
        <v>230</v>
      </c>
      <c r="AM281">
        <v>675</v>
      </c>
      <c r="AP281" s="3">
        <v>44773</v>
      </c>
    </row>
    <row r="282" spans="1:42" ht="14.45" hidden="1" customHeight="1" x14ac:dyDescent="0.25">
      <c r="A282" t="s">
        <v>59</v>
      </c>
      <c r="D282" t="s">
        <v>132</v>
      </c>
      <c r="E282" t="s">
        <v>860</v>
      </c>
      <c r="F282" s="1">
        <v>43382</v>
      </c>
      <c r="G282" t="s">
        <v>44</v>
      </c>
      <c r="H282" t="s">
        <v>134</v>
      </c>
      <c r="I282" t="s">
        <v>135</v>
      </c>
      <c r="J282">
        <v>14193</v>
      </c>
      <c r="K282" t="s">
        <v>490</v>
      </c>
      <c r="L282">
        <v>1303958</v>
      </c>
      <c r="N282">
        <v>18825</v>
      </c>
      <c r="Q282">
        <v>555</v>
      </c>
      <c r="R282">
        <v>1720</v>
      </c>
      <c r="U282" t="s">
        <v>861</v>
      </c>
      <c r="V282" t="s">
        <v>48</v>
      </c>
      <c r="W282" t="s">
        <v>49</v>
      </c>
      <c r="X282" t="s">
        <v>50</v>
      </c>
      <c r="Z282" t="s">
        <v>529</v>
      </c>
      <c r="AA282">
        <v>43.303724670000001</v>
      </c>
      <c r="AB282">
        <v>-79.838371769999995</v>
      </c>
      <c r="AC282" t="s">
        <v>684</v>
      </c>
      <c r="AD282" t="s">
        <v>862</v>
      </c>
      <c r="AE282" t="s">
        <v>55</v>
      </c>
      <c r="AF282" t="s">
        <v>56</v>
      </c>
      <c r="AG282">
        <v>34</v>
      </c>
      <c r="AH282">
        <v>0.15160000000000001</v>
      </c>
      <c r="AI282">
        <v>-0.60650000000000004</v>
      </c>
      <c r="AJ282">
        <v>26153</v>
      </c>
      <c r="AK282">
        <v>130</v>
      </c>
      <c r="AL282">
        <v>270</v>
      </c>
      <c r="AM282">
        <v>1244</v>
      </c>
      <c r="AP282" s="3">
        <f>F282+AM282</f>
        <v>44626</v>
      </c>
    </row>
    <row r="283" spans="1:42" ht="14.45" hidden="1" customHeight="1" x14ac:dyDescent="0.25">
      <c r="A283" t="s">
        <v>59</v>
      </c>
      <c r="D283" t="s">
        <v>132</v>
      </c>
      <c r="E283" t="s">
        <v>863</v>
      </c>
      <c r="F283" s="1">
        <v>43382</v>
      </c>
      <c r="G283" t="s">
        <v>44</v>
      </c>
      <c r="H283" t="s">
        <v>134</v>
      </c>
      <c r="I283" t="s">
        <v>135</v>
      </c>
      <c r="J283">
        <v>14192</v>
      </c>
      <c r="K283" t="s">
        <v>490</v>
      </c>
      <c r="L283">
        <v>1303957</v>
      </c>
      <c r="N283">
        <v>148552</v>
      </c>
      <c r="Q283">
        <v>488</v>
      </c>
      <c r="R283">
        <v>1180</v>
      </c>
      <c r="U283" t="s">
        <v>861</v>
      </c>
      <c r="V283" t="s">
        <v>48</v>
      </c>
      <c r="W283" t="s">
        <v>49</v>
      </c>
      <c r="X283" t="s">
        <v>50</v>
      </c>
      <c r="Z283" t="s">
        <v>529</v>
      </c>
      <c r="AA283">
        <v>43.303724670000001</v>
      </c>
      <c r="AB283">
        <v>-79.838371769999995</v>
      </c>
      <c r="AC283" t="s">
        <v>684</v>
      </c>
      <c r="AD283" t="s">
        <v>864</v>
      </c>
      <c r="AE283" t="s">
        <v>55</v>
      </c>
      <c r="AF283" t="s">
        <v>56</v>
      </c>
      <c r="AG283">
        <v>34</v>
      </c>
      <c r="AH283">
        <v>0.15160000000000001</v>
      </c>
      <c r="AI283">
        <v>-0.60650000000000004</v>
      </c>
      <c r="AJ283">
        <v>26153</v>
      </c>
      <c r="AK283">
        <v>130</v>
      </c>
      <c r="AL283">
        <v>270</v>
      </c>
      <c r="AM283">
        <v>1244</v>
      </c>
      <c r="AP283" s="3">
        <f t="shared" ref="AP283:AP346" si="3">F283+AM283</f>
        <v>44626</v>
      </c>
    </row>
    <row r="284" spans="1:42" ht="14.45" hidden="1" customHeight="1" x14ac:dyDescent="0.25">
      <c r="A284" t="s">
        <v>59</v>
      </c>
      <c r="D284" t="s">
        <v>613</v>
      </c>
      <c r="E284" t="s">
        <v>865</v>
      </c>
      <c r="F284" s="1">
        <v>43382</v>
      </c>
      <c r="G284" t="s">
        <v>44</v>
      </c>
      <c r="H284" t="s">
        <v>615</v>
      </c>
      <c r="I284" t="s">
        <v>616</v>
      </c>
      <c r="J284">
        <v>14518</v>
      </c>
      <c r="K284" t="s">
        <v>490</v>
      </c>
      <c r="L284">
        <v>1295454</v>
      </c>
      <c r="N284">
        <v>148807</v>
      </c>
      <c r="P284">
        <v>503</v>
      </c>
      <c r="Q284">
        <v>558</v>
      </c>
      <c r="R284">
        <v>356</v>
      </c>
      <c r="U284" t="s">
        <v>861</v>
      </c>
      <c r="V284" t="s">
        <v>48</v>
      </c>
      <c r="W284" t="s">
        <v>49</v>
      </c>
      <c r="X284" t="s">
        <v>50</v>
      </c>
      <c r="Z284" t="s">
        <v>529</v>
      </c>
      <c r="AA284">
        <v>43.303724670000001</v>
      </c>
      <c r="AB284">
        <v>-79.838371769999995</v>
      </c>
      <c r="AC284" t="s">
        <v>684</v>
      </c>
      <c r="AD284" t="s">
        <v>866</v>
      </c>
      <c r="AE284" t="s">
        <v>55</v>
      </c>
      <c r="AF284" t="s">
        <v>56</v>
      </c>
      <c r="AG284">
        <v>34</v>
      </c>
      <c r="AH284">
        <v>0.15160000000000001</v>
      </c>
      <c r="AI284">
        <v>-0.60650000000000004</v>
      </c>
      <c r="AJ284">
        <v>25438</v>
      </c>
      <c r="AK284">
        <v>130</v>
      </c>
      <c r="AL284">
        <v>270</v>
      </c>
      <c r="AM284">
        <v>1387</v>
      </c>
      <c r="AP284" s="3">
        <f t="shared" si="3"/>
        <v>44769</v>
      </c>
    </row>
    <row r="285" spans="1:42" ht="14.45" hidden="1" customHeight="1" x14ac:dyDescent="0.25">
      <c r="A285" t="s">
        <v>59</v>
      </c>
      <c r="D285" t="s">
        <v>613</v>
      </c>
      <c r="E285" t="s">
        <v>867</v>
      </c>
      <c r="F285" s="1">
        <v>43382</v>
      </c>
      <c r="G285" t="s">
        <v>44</v>
      </c>
      <c r="H285" t="s">
        <v>615</v>
      </c>
      <c r="I285" t="s">
        <v>616</v>
      </c>
      <c r="J285">
        <v>14797</v>
      </c>
      <c r="K285" t="s">
        <v>490</v>
      </c>
      <c r="L285">
        <v>1289852</v>
      </c>
      <c r="M285">
        <v>144</v>
      </c>
      <c r="N285">
        <v>148792</v>
      </c>
      <c r="P285">
        <v>548</v>
      </c>
      <c r="Q285">
        <v>623</v>
      </c>
      <c r="R285">
        <v>4780</v>
      </c>
      <c r="U285" t="s">
        <v>861</v>
      </c>
      <c r="V285" t="s">
        <v>48</v>
      </c>
      <c r="W285" t="s">
        <v>49</v>
      </c>
      <c r="X285" t="s">
        <v>50</v>
      </c>
      <c r="Z285" t="s">
        <v>529</v>
      </c>
      <c r="AA285">
        <v>43.303724670000001</v>
      </c>
      <c r="AB285">
        <v>-79.838371769999995</v>
      </c>
      <c r="AC285" t="s">
        <v>684</v>
      </c>
      <c r="AD285" t="s">
        <v>868</v>
      </c>
      <c r="AE285" t="s">
        <v>55</v>
      </c>
      <c r="AF285" t="s">
        <v>56</v>
      </c>
      <c r="AG285">
        <v>34</v>
      </c>
      <c r="AH285">
        <v>0.15160000000000001</v>
      </c>
      <c r="AI285">
        <v>-0.60650000000000004</v>
      </c>
      <c r="AJ285">
        <v>25438</v>
      </c>
      <c r="AK285">
        <v>130</v>
      </c>
      <c r="AL285">
        <v>270</v>
      </c>
      <c r="AM285">
        <v>1387</v>
      </c>
      <c r="AP285" s="3">
        <f t="shared" si="3"/>
        <v>44769</v>
      </c>
    </row>
    <row r="286" spans="1:42" ht="14.45" hidden="1" customHeight="1" x14ac:dyDescent="0.25">
      <c r="A286" t="s">
        <v>59</v>
      </c>
      <c r="D286" t="s">
        <v>551</v>
      </c>
      <c r="E286" t="s">
        <v>869</v>
      </c>
      <c r="F286" s="1">
        <v>43382</v>
      </c>
      <c r="G286" t="s">
        <v>44</v>
      </c>
      <c r="H286" t="s">
        <v>553</v>
      </c>
      <c r="I286" t="s">
        <v>554</v>
      </c>
      <c r="J286">
        <v>14190</v>
      </c>
      <c r="K286" t="s">
        <v>490</v>
      </c>
      <c r="L286">
        <v>1303955</v>
      </c>
      <c r="N286">
        <v>148803</v>
      </c>
      <c r="P286">
        <v>325</v>
      </c>
      <c r="Q286">
        <v>353</v>
      </c>
      <c r="R286">
        <v>860</v>
      </c>
      <c r="U286" t="s">
        <v>861</v>
      </c>
      <c r="V286" t="s">
        <v>48</v>
      </c>
      <c r="W286" t="s">
        <v>49</v>
      </c>
      <c r="X286" t="s">
        <v>50</v>
      </c>
      <c r="Z286" t="s">
        <v>529</v>
      </c>
      <c r="AA286">
        <v>43.303724670000001</v>
      </c>
      <c r="AB286">
        <v>-79.838371769999995</v>
      </c>
      <c r="AC286" t="s">
        <v>684</v>
      </c>
      <c r="AD286" t="s">
        <v>870</v>
      </c>
      <c r="AE286" t="s">
        <v>55</v>
      </c>
      <c r="AF286" t="s">
        <v>56</v>
      </c>
      <c r="AG286">
        <v>34</v>
      </c>
      <c r="AH286">
        <v>0.15160000000000001</v>
      </c>
      <c r="AI286">
        <v>-0.60650000000000004</v>
      </c>
      <c r="AJ286">
        <v>26153</v>
      </c>
      <c r="AK286">
        <v>130</v>
      </c>
      <c r="AL286">
        <v>270</v>
      </c>
      <c r="AM286">
        <v>1244</v>
      </c>
      <c r="AP286" s="3">
        <f t="shared" si="3"/>
        <v>44626</v>
      </c>
    </row>
    <row r="287" spans="1:42" ht="14.45" hidden="1" customHeight="1" x14ac:dyDescent="0.25">
      <c r="A287" t="s">
        <v>59</v>
      </c>
      <c r="D287" t="s">
        <v>551</v>
      </c>
      <c r="E287" t="s">
        <v>871</v>
      </c>
      <c r="F287" s="1">
        <v>43382</v>
      </c>
      <c r="G287" t="s">
        <v>44</v>
      </c>
      <c r="H287" t="s">
        <v>553</v>
      </c>
      <c r="I287" t="s">
        <v>554</v>
      </c>
      <c r="J287">
        <v>14191</v>
      </c>
      <c r="K287" t="s">
        <v>490</v>
      </c>
      <c r="L287">
        <v>1303956</v>
      </c>
      <c r="N287">
        <v>148653</v>
      </c>
      <c r="P287">
        <v>320</v>
      </c>
      <c r="Q287">
        <v>353</v>
      </c>
      <c r="R287">
        <v>920</v>
      </c>
      <c r="U287" t="s">
        <v>861</v>
      </c>
      <c r="V287" t="s">
        <v>48</v>
      </c>
      <c r="W287" t="s">
        <v>49</v>
      </c>
      <c r="X287" t="s">
        <v>50</v>
      </c>
      <c r="Z287" t="s">
        <v>529</v>
      </c>
      <c r="AA287">
        <v>43.303724670000001</v>
      </c>
      <c r="AB287">
        <v>-79.838371769999995</v>
      </c>
      <c r="AC287" t="s">
        <v>684</v>
      </c>
      <c r="AD287" t="s">
        <v>872</v>
      </c>
      <c r="AE287" t="s">
        <v>55</v>
      </c>
      <c r="AF287" t="s">
        <v>56</v>
      </c>
      <c r="AG287">
        <v>34</v>
      </c>
      <c r="AH287">
        <v>0.15160000000000001</v>
      </c>
      <c r="AI287">
        <v>-0.60650000000000004</v>
      </c>
      <c r="AJ287">
        <v>26153</v>
      </c>
      <c r="AK287">
        <v>130</v>
      </c>
      <c r="AL287">
        <v>270</v>
      </c>
      <c r="AM287">
        <v>1244</v>
      </c>
      <c r="AP287" s="3">
        <f t="shared" si="3"/>
        <v>44626</v>
      </c>
    </row>
    <row r="288" spans="1:42" ht="14.45" hidden="1" customHeight="1" x14ac:dyDescent="0.25">
      <c r="A288" t="s">
        <v>59</v>
      </c>
      <c r="D288" t="s">
        <v>551</v>
      </c>
      <c r="E288" t="s">
        <v>873</v>
      </c>
      <c r="F288" s="1">
        <v>43382</v>
      </c>
      <c r="G288" t="s">
        <v>44</v>
      </c>
      <c r="H288" t="s">
        <v>553</v>
      </c>
      <c r="I288" t="s">
        <v>554</v>
      </c>
      <c r="J288">
        <v>14513</v>
      </c>
      <c r="K288" t="s">
        <v>490</v>
      </c>
      <c r="L288">
        <v>1295449</v>
      </c>
      <c r="N288">
        <v>148726</v>
      </c>
      <c r="P288">
        <v>323</v>
      </c>
      <c r="Q288">
        <v>360</v>
      </c>
      <c r="R288">
        <v>1010</v>
      </c>
      <c r="U288" t="s">
        <v>861</v>
      </c>
      <c r="V288" t="s">
        <v>48</v>
      </c>
      <c r="W288" t="s">
        <v>49</v>
      </c>
      <c r="X288" t="s">
        <v>50</v>
      </c>
      <c r="Z288" t="s">
        <v>529</v>
      </c>
      <c r="AA288">
        <v>43.303724670000001</v>
      </c>
      <c r="AB288">
        <v>-79.838371769999995</v>
      </c>
      <c r="AC288" t="s">
        <v>684</v>
      </c>
      <c r="AD288" t="s">
        <v>874</v>
      </c>
      <c r="AE288" t="s">
        <v>55</v>
      </c>
      <c r="AF288" t="s">
        <v>56</v>
      </c>
      <c r="AG288">
        <v>34</v>
      </c>
      <c r="AH288">
        <v>0.15160000000000001</v>
      </c>
      <c r="AI288">
        <v>-0.60650000000000004</v>
      </c>
      <c r="AJ288">
        <v>25438</v>
      </c>
      <c r="AK288">
        <v>130</v>
      </c>
      <c r="AL288">
        <v>270</v>
      </c>
      <c r="AM288">
        <v>1387</v>
      </c>
      <c r="AP288" s="3">
        <f t="shared" si="3"/>
        <v>44769</v>
      </c>
    </row>
    <row r="289" spans="1:42" ht="14.45" hidden="1" customHeight="1" x14ac:dyDescent="0.25">
      <c r="A289" t="s">
        <v>59</v>
      </c>
      <c r="D289" t="s">
        <v>132</v>
      </c>
      <c r="E289" t="s">
        <v>875</v>
      </c>
      <c r="F289" s="1">
        <v>43383</v>
      </c>
      <c r="G289" t="s">
        <v>44</v>
      </c>
      <c r="H289" t="s">
        <v>134</v>
      </c>
      <c r="I289" t="s">
        <v>135</v>
      </c>
      <c r="J289">
        <v>14189</v>
      </c>
      <c r="K289" t="s">
        <v>490</v>
      </c>
      <c r="L289">
        <v>1303954</v>
      </c>
      <c r="N289">
        <v>148384</v>
      </c>
      <c r="Q289">
        <v>608</v>
      </c>
      <c r="R289">
        <v>2620</v>
      </c>
      <c r="U289" t="s">
        <v>861</v>
      </c>
      <c r="V289" t="s">
        <v>48</v>
      </c>
      <c r="W289" t="s">
        <v>49</v>
      </c>
      <c r="X289" t="s">
        <v>50</v>
      </c>
      <c r="Z289" t="s">
        <v>538</v>
      </c>
      <c r="AA289">
        <v>43.302659830000003</v>
      </c>
      <c r="AB289">
        <v>-79.802528319999993</v>
      </c>
      <c r="AC289" t="s">
        <v>684</v>
      </c>
      <c r="AD289" t="s">
        <v>876</v>
      </c>
      <c r="AE289" t="s">
        <v>55</v>
      </c>
      <c r="AF289" t="s">
        <v>56</v>
      </c>
      <c r="AG289">
        <v>34</v>
      </c>
      <c r="AH289">
        <v>0.15160000000000001</v>
      </c>
      <c r="AI289">
        <v>-0.60650000000000004</v>
      </c>
      <c r="AJ289">
        <v>26153</v>
      </c>
      <c r="AK289">
        <v>130</v>
      </c>
      <c r="AL289">
        <v>270</v>
      </c>
      <c r="AM289">
        <v>1244</v>
      </c>
      <c r="AP289" s="3">
        <f t="shared" si="3"/>
        <v>44627</v>
      </c>
    </row>
    <row r="290" spans="1:42" ht="14.45" hidden="1" customHeight="1" x14ac:dyDescent="0.25">
      <c r="A290" t="s">
        <v>59</v>
      </c>
      <c r="D290" t="s">
        <v>551</v>
      </c>
      <c r="E290" t="s">
        <v>877</v>
      </c>
      <c r="F290" s="1">
        <v>43383</v>
      </c>
      <c r="G290" t="s">
        <v>44</v>
      </c>
      <c r="H290" t="s">
        <v>553</v>
      </c>
      <c r="I290" t="s">
        <v>554</v>
      </c>
      <c r="J290">
        <v>14186</v>
      </c>
      <c r="K290" t="s">
        <v>490</v>
      </c>
      <c r="L290">
        <v>1303951</v>
      </c>
      <c r="N290">
        <v>148465</v>
      </c>
      <c r="P290">
        <v>330</v>
      </c>
      <c r="Q290">
        <v>367</v>
      </c>
      <c r="R290">
        <v>880</v>
      </c>
      <c r="U290" t="s">
        <v>861</v>
      </c>
      <c r="V290" t="s">
        <v>48</v>
      </c>
      <c r="W290" t="s">
        <v>49</v>
      </c>
      <c r="X290" t="s">
        <v>50</v>
      </c>
      <c r="Z290" t="s">
        <v>538</v>
      </c>
      <c r="AA290">
        <v>43.302659830000003</v>
      </c>
      <c r="AB290">
        <v>-79.802528319999993</v>
      </c>
      <c r="AC290" t="s">
        <v>684</v>
      </c>
      <c r="AD290" t="s">
        <v>878</v>
      </c>
      <c r="AE290" t="s">
        <v>55</v>
      </c>
      <c r="AF290" t="s">
        <v>56</v>
      </c>
      <c r="AG290">
        <v>34</v>
      </c>
      <c r="AH290">
        <v>0.15160000000000001</v>
      </c>
      <c r="AI290">
        <v>-0.60650000000000004</v>
      </c>
      <c r="AJ290">
        <v>26153</v>
      </c>
      <c r="AK290">
        <v>130</v>
      </c>
      <c r="AL290">
        <v>270</v>
      </c>
      <c r="AM290">
        <v>1244</v>
      </c>
      <c r="AP290" s="3">
        <f t="shared" si="3"/>
        <v>44627</v>
      </c>
    </row>
    <row r="291" spans="1:42" ht="14.45" hidden="1" customHeight="1" x14ac:dyDescent="0.25">
      <c r="A291" t="s">
        <v>59</v>
      </c>
      <c r="D291" t="s">
        <v>551</v>
      </c>
      <c r="E291" t="s">
        <v>879</v>
      </c>
      <c r="F291" s="1">
        <v>43383</v>
      </c>
      <c r="G291" t="s">
        <v>44</v>
      </c>
      <c r="H291" t="s">
        <v>553</v>
      </c>
      <c r="I291" t="s">
        <v>554</v>
      </c>
      <c r="J291">
        <v>14187</v>
      </c>
      <c r="K291" t="s">
        <v>490</v>
      </c>
      <c r="L291">
        <v>1303952</v>
      </c>
      <c r="N291">
        <v>148481</v>
      </c>
      <c r="P291">
        <v>328</v>
      </c>
      <c r="Q291">
        <v>368</v>
      </c>
      <c r="R291">
        <v>1030</v>
      </c>
      <c r="U291" t="s">
        <v>861</v>
      </c>
      <c r="V291" t="s">
        <v>48</v>
      </c>
      <c r="W291" t="s">
        <v>49</v>
      </c>
      <c r="X291" t="s">
        <v>50</v>
      </c>
      <c r="Z291" t="s">
        <v>538</v>
      </c>
      <c r="AA291">
        <v>43.302659830000003</v>
      </c>
      <c r="AB291">
        <v>-79.802528319999993</v>
      </c>
      <c r="AC291" t="s">
        <v>684</v>
      </c>
      <c r="AD291" t="s">
        <v>880</v>
      </c>
      <c r="AE291" t="s">
        <v>55</v>
      </c>
      <c r="AF291" t="s">
        <v>56</v>
      </c>
      <c r="AG291">
        <v>34</v>
      </c>
      <c r="AH291">
        <v>0.15160000000000001</v>
      </c>
      <c r="AI291">
        <v>-0.60650000000000004</v>
      </c>
      <c r="AJ291">
        <v>26153</v>
      </c>
      <c r="AK291">
        <v>130</v>
      </c>
      <c r="AL291">
        <v>270</v>
      </c>
      <c r="AM291">
        <v>1244</v>
      </c>
      <c r="AP291" s="3">
        <f t="shared" si="3"/>
        <v>44627</v>
      </c>
    </row>
    <row r="292" spans="1:42" ht="14.45" hidden="1" customHeight="1" x14ac:dyDescent="0.25">
      <c r="A292" t="s">
        <v>59</v>
      </c>
      <c r="D292" t="s">
        <v>551</v>
      </c>
      <c r="E292" t="s">
        <v>881</v>
      </c>
      <c r="F292" s="1">
        <v>43383</v>
      </c>
      <c r="G292" t="s">
        <v>44</v>
      </c>
      <c r="H292" t="s">
        <v>553</v>
      </c>
      <c r="I292" t="s">
        <v>554</v>
      </c>
      <c r="J292">
        <v>14188</v>
      </c>
      <c r="K292" t="s">
        <v>490</v>
      </c>
      <c r="L292">
        <v>1303953</v>
      </c>
      <c r="N292">
        <v>148655</v>
      </c>
      <c r="P292">
        <v>322</v>
      </c>
      <c r="Q292">
        <v>365</v>
      </c>
      <c r="R292">
        <v>850</v>
      </c>
      <c r="U292" t="s">
        <v>861</v>
      </c>
      <c r="V292" t="s">
        <v>48</v>
      </c>
      <c r="W292" t="s">
        <v>49</v>
      </c>
      <c r="X292" t="s">
        <v>50</v>
      </c>
      <c r="Z292" t="s">
        <v>538</v>
      </c>
      <c r="AA292">
        <v>43.302659830000003</v>
      </c>
      <c r="AB292">
        <v>-79.802528319999993</v>
      </c>
      <c r="AC292" t="s">
        <v>684</v>
      </c>
      <c r="AD292" t="s">
        <v>882</v>
      </c>
      <c r="AE292" t="s">
        <v>55</v>
      </c>
      <c r="AF292" t="s">
        <v>56</v>
      </c>
      <c r="AG292">
        <v>34</v>
      </c>
      <c r="AH292">
        <v>0.15160000000000001</v>
      </c>
      <c r="AI292">
        <v>-0.60650000000000004</v>
      </c>
      <c r="AJ292">
        <v>26153</v>
      </c>
      <c r="AK292">
        <v>130</v>
      </c>
      <c r="AL292">
        <v>270</v>
      </c>
      <c r="AM292">
        <v>1244</v>
      </c>
      <c r="AP292" s="3">
        <f t="shared" si="3"/>
        <v>44627</v>
      </c>
    </row>
    <row r="293" spans="1:42" ht="14.45" hidden="1" customHeight="1" x14ac:dyDescent="0.25">
      <c r="A293" t="s">
        <v>59</v>
      </c>
      <c r="D293" t="s">
        <v>692</v>
      </c>
      <c r="E293" t="s">
        <v>883</v>
      </c>
      <c r="F293" s="1">
        <v>43383</v>
      </c>
      <c r="G293" t="s">
        <v>44</v>
      </c>
      <c r="H293" t="s">
        <v>129</v>
      </c>
      <c r="I293" t="s">
        <v>130</v>
      </c>
      <c r="J293">
        <v>14185</v>
      </c>
      <c r="K293" t="s">
        <v>490</v>
      </c>
      <c r="L293">
        <v>1303950</v>
      </c>
      <c r="N293">
        <v>148547</v>
      </c>
      <c r="P293">
        <v>434</v>
      </c>
      <c r="Q293">
        <v>450</v>
      </c>
      <c r="R293">
        <v>1150</v>
      </c>
      <c r="U293" t="s">
        <v>861</v>
      </c>
      <c r="V293" t="s">
        <v>48</v>
      </c>
      <c r="W293" t="s">
        <v>49</v>
      </c>
      <c r="X293" t="s">
        <v>50</v>
      </c>
      <c r="Z293" t="s">
        <v>884</v>
      </c>
      <c r="AA293">
        <v>43.275129999999997</v>
      </c>
      <c r="AB293">
        <v>-79.861095000000006</v>
      </c>
      <c r="AC293" t="s">
        <v>684</v>
      </c>
      <c r="AD293" t="s">
        <v>885</v>
      </c>
      <c r="AE293" t="s">
        <v>55</v>
      </c>
      <c r="AF293" t="s">
        <v>56</v>
      </c>
      <c r="AG293">
        <v>34</v>
      </c>
      <c r="AH293">
        <v>0.15160000000000001</v>
      </c>
      <c r="AI293">
        <v>-0.60650000000000004</v>
      </c>
      <c r="AJ293">
        <v>26153</v>
      </c>
      <c r="AK293">
        <v>130</v>
      </c>
      <c r="AL293">
        <v>270</v>
      </c>
      <c r="AM293">
        <v>1244</v>
      </c>
      <c r="AP293" s="3">
        <f t="shared" si="3"/>
        <v>44627</v>
      </c>
    </row>
    <row r="294" spans="1:42" ht="14.45" hidden="1" customHeight="1" x14ac:dyDescent="0.25">
      <c r="A294" t="s">
        <v>59</v>
      </c>
      <c r="D294" t="s">
        <v>692</v>
      </c>
      <c r="E294" t="s">
        <v>886</v>
      </c>
      <c r="F294" s="1">
        <v>43383</v>
      </c>
      <c r="G294" t="s">
        <v>44</v>
      </c>
      <c r="H294" t="s">
        <v>129</v>
      </c>
      <c r="I294" t="s">
        <v>130</v>
      </c>
      <c r="J294">
        <v>14184</v>
      </c>
      <c r="K294" t="s">
        <v>490</v>
      </c>
      <c r="L294">
        <v>1303949</v>
      </c>
      <c r="N294">
        <v>148534</v>
      </c>
      <c r="P294">
        <v>435</v>
      </c>
      <c r="Q294">
        <v>449</v>
      </c>
      <c r="R294">
        <v>1600</v>
      </c>
      <c r="U294" t="s">
        <v>861</v>
      </c>
      <c r="V294" t="s">
        <v>48</v>
      </c>
      <c r="W294" t="s">
        <v>49</v>
      </c>
      <c r="X294" t="s">
        <v>50</v>
      </c>
      <c r="Z294" t="s">
        <v>884</v>
      </c>
      <c r="AA294">
        <v>43.275129999999997</v>
      </c>
      <c r="AB294">
        <v>-79.861095000000006</v>
      </c>
      <c r="AC294" t="s">
        <v>684</v>
      </c>
      <c r="AD294" t="s">
        <v>887</v>
      </c>
      <c r="AE294" t="s">
        <v>55</v>
      </c>
      <c r="AF294" t="s">
        <v>56</v>
      </c>
      <c r="AG294">
        <v>34</v>
      </c>
      <c r="AH294">
        <v>0.15160000000000001</v>
      </c>
      <c r="AI294">
        <v>-0.60650000000000004</v>
      </c>
      <c r="AJ294">
        <v>26153</v>
      </c>
      <c r="AK294">
        <v>130</v>
      </c>
      <c r="AL294">
        <v>270</v>
      </c>
      <c r="AM294">
        <v>1244</v>
      </c>
      <c r="AP294" s="3">
        <f t="shared" si="3"/>
        <v>44627</v>
      </c>
    </row>
    <row r="295" spans="1:42" ht="14.45" hidden="1" customHeight="1" x14ac:dyDescent="0.25">
      <c r="A295" t="s">
        <v>59</v>
      </c>
      <c r="D295" t="s">
        <v>692</v>
      </c>
      <c r="E295" t="s">
        <v>888</v>
      </c>
      <c r="F295" s="1">
        <v>43383</v>
      </c>
      <c r="G295" t="s">
        <v>44</v>
      </c>
      <c r="H295" t="s">
        <v>129</v>
      </c>
      <c r="I295" t="s">
        <v>130</v>
      </c>
      <c r="J295">
        <v>14183</v>
      </c>
      <c r="K295" t="s">
        <v>490</v>
      </c>
      <c r="L295">
        <v>1303948</v>
      </c>
      <c r="N295">
        <v>148871</v>
      </c>
      <c r="P295">
        <v>378</v>
      </c>
      <c r="Q295">
        <v>391</v>
      </c>
      <c r="R295">
        <v>670</v>
      </c>
      <c r="U295" t="s">
        <v>861</v>
      </c>
      <c r="V295" t="s">
        <v>48</v>
      </c>
      <c r="W295" t="s">
        <v>49</v>
      </c>
      <c r="X295" t="s">
        <v>50</v>
      </c>
      <c r="Z295" t="s">
        <v>884</v>
      </c>
      <c r="AA295">
        <v>43.275129999999997</v>
      </c>
      <c r="AB295">
        <v>-79.861095000000006</v>
      </c>
      <c r="AC295" t="s">
        <v>684</v>
      </c>
      <c r="AD295" t="s">
        <v>889</v>
      </c>
      <c r="AE295" t="s">
        <v>55</v>
      </c>
      <c r="AF295" t="s">
        <v>56</v>
      </c>
      <c r="AG295">
        <v>34</v>
      </c>
      <c r="AH295">
        <v>0.15160000000000001</v>
      </c>
      <c r="AI295">
        <v>-0.60650000000000004</v>
      </c>
      <c r="AJ295">
        <v>26153</v>
      </c>
      <c r="AK295">
        <v>130</v>
      </c>
      <c r="AL295">
        <v>270</v>
      </c>
      <c r="AM295">
        <v>1244</v>
      </c>
      <c r="AP295" s="3">
        <f t="shared" si="3"/>
        <v>44627</v>
      </c>
    </row>
    <row r="296" spans="1:42" ht="14.45" hidden="1" customHeight="1" x14ac:dyDescent="0.25">
      <c r="A296" t="s">
        <v>59</v>
      </c>
      <c r="D296" t="s">
        <v>692</v>
      </c>
      <c r="E296" t="s">
        <v>890</v>
      </c>
      <c r="F296" s="1">
        <v>43383</v>
      </c>
      <c r="G296" t="s">
        <v>44</v>
      </c>
      <c r="H296" t="s">
        <v>129</v>
      </c>
      <c r="I296" t="s">
        <v>130</v>
      </c>
      <c r="J296">
        <v>14182</v>
      </c>
      <c r="K296" t="s">
        <v>490</v>
      </c>
      <c r="L296">
        <v>1303947</v>
      </c>
      <c r="N296">
        <v>148852</v>
      </c>
      <c r="P296">
        <v>445</v>
      </c>
      <c r="Q296">
        <v>465</v>
      </c>
      <c r="R296">
        <v>1360</v>
      </c>
      <c r="U296" t="s">
        <v>861</v>
      </c>
      <c r="V296" t="s">
        <v>48</v>
      </c>
      <c r="W296" t="s">
        <v>49</v>
      </c>
      <c r="X296" t="s">
        <v>50</v>
      </c>
      <c r="Z296" t="s">
        <v>884</v>
      </c>
      <c r="AA296">
        <v>43.275129999999997</v>
      </c>
      <c r="AB296">
        <v>-79.861095000000006</v>
      </c>
      <c r="AC296" t="s">
        <v>684</v>
      </c>
      <c r="AD296" t="s">
        <v>891</v>
      </c>
      <c r="AE296" t="s">
        <v>55</v>
      </c>
      <c r="AF296" t="s">
        <v>56</v>
      </c>
      <c r="AG296">
        <v>34</v>
      </c>
      <c r="AH296">
        <v>0.15160000000000001</v>
      </c>
      <c r="AI296">
        <v>-0.60650000000000004</v>
      </c>
      <c r="AJ296">
        <v>26153</v>
      </c>
      <c r="AK296">
        <v>130</v>
      </c>
      <c r="AL296">
        <v>270</v>
      </c>
      <c r="AM296">
        <v>1244</v>
      </c>
      <c r="AP296" s="3">
        <f t="shared" si="3"/>
        <v>44627</v>
      </c>
    </row>
    <row r="297" spans="1:42" ht="14.45" hidden="1" customHeight="1" x14ac:dyDescent="0.25">
      <c r="A297" t="s">
        <v>59</v>
      </c>
      <c r="D297" t="s">
        <v>692</v>
      </c>
      <c r="E297" t="s">
        <v>892</v>
      </c>
      <c r="F297" s="1">
        <v>43383</v>
      </c>
      <c r="G297" t="s">
        <v>44</v>
      </c>
      <c r="H297" t="s">
        <v>129</v>
      </c>
      <c r="I297" t="s">
        <v>130</v>
      </c>
      <c r="J297">
        <v>14181</v>
      </c>
      <c r="K297" t="s">
        <v>490</v>
      </c>
      <c r="L297">
        <v>1303946</v>
      </c>
      <c r="N297">
        <v>148600</v>
      </c>
      <c r="P297">
        <v>439</v>
      </c>
      <c r="Q297">
        <v>449</v>
      </c>
      <c r="R297">
        <v>1260</v>
      </c>
      <c r="U297" t="s">
        <v>861</v>
      </c>
      <c r="V297" t="s">
        <v>48</v>
      </c>
      <c r="W297" t="s">
        <v>49</v>
      </c>
      <c r="X297" t="s">
        <v>50</v>
      </c>
      <c r="Z297" t="s">
        <v>884</v>
      </c>
      <c r="AA297">
        <v>43.275129999999997</v>
      </c>
      <c r="AB297">
        <v>-79.861095000000006</v>
      </c>
      <c r="AC297" t="s">
        <v>684</v>
      </c>
      <c r="AD297" t="s">
        <v>893</v>
      </c>
      <c r="AE297" t="s">
        <v>55</v>
      </c>
      <c r="AF297" t="s">
        <v>56</v>
      </c>
      <c r="AG297">
        <v>34</v>
      </c>
      <c r="AH297">
        <v>0.15160000000000001</v>
      </c>
      <c r="AI297">
        <v>-0.60650000000000004</v>
      </c>
      <c r="AJ297">
        <v>26153</v>
      </c>
      <c r="AK297">
        <v>130</v>
      </c>
      <c r="AL297">
        <v>270</v>
      </c>
      <c r="AM297">
        <v>1244</v>
      </c>
      <c r="AP297" s="3">
        <f t="shared" si="3"/>
        <v>44627</v>
      </c>
    </row>
    <row r="298" spans="1:42" ht="14.45" hidden="1" customHeight="1" x14ac:dyDescent="0.25">
      <c r="A298" t="s">
        <v>59</v>
      </c>
      <c r="D298" t="s">
        <v>122</v>
      </c>
      <c r="E298" t="s">
        <v>894</v>
      </c>
      <c r="F298" s="1">
        <v>43384</v>
      </c>
      <c r="G298" t="s">
        <v>44</v>
      </c>
      <c r="H298" t="s">
        <v>124</v>
      </c>
      <c r="I298" t="s">
        <v>125</v>
      </c>
      <c r="J298">
        <v>14800</v>
      </c>
      <c r="K298" t="s">
        <v>490</v>
      </c>
      <c r="L298">
        <v>1288886</v>
      </c>
      <c r="M298">
        <v>126</v>
      </c>
      <c r="N298">
        <v>99196</v>
      </c>
      <c r="P298">
        <v>701</v>
      </c>
      <c r="Q298">
        <v>741</v>
      </c>
      <c r="R298">
        <v>2110</v>
      </c>
      <c r="U298" t="s">
        <v>861</v>
      </c>
      <c r="V298" t="s">
        <v>48</v>
      </c>
      <c r="W298" t="s">
        <v>49</v>
      </c>
      <c r="X298" t="s">
        <v>50</v>
      </c>
      <c r="Z298" t="s">
        <v>895</v>
      </c>
      <c r="AA298">
        <v>43.274943</v>
      </c>
      <c r="AB298">
        <v>-79.860266999999993</v>
      </c>
      <c r="AC298" t="s">
        <v>684</v>
      </c>
      <c r="AD298" t="s">
        <v>896</v>
      </c>
      <c r="AE298" t="s">
        <v>55</v>
      </c>
      <c r="AF298" t="s">
        <v>56</v>
      </c>
      <c r="AG298">
        <v>34</v>
      </c>
      <c r="AH298">
        <v>0.15160000000000001</v>
      </c>
      <c r="AI298">
        <v>-0.60650000000000004</v>
      </c>
      <c r="AJ298">
        <v>26153</v>
      </c>
      <c r="AK298">
        <v>130</v>
      </c>
      <c r="AL298">
        <v>270</v>
      </c>
      <c r="AM298">
        <v>1244</v>
      </c>
      <c r="AP298" s="3">
        <f t="shared" si="3"/>
        <v>44628</v>
      </c>
    </row>
    <row r="299" spans="1:42" ht="14.45" hidden="1" customHeight="1" x14ac:dyDescent="0.25">
      <c r="A299" t="s">
        <v>59</v>
      </c>
      <c r="D299" t="s">
        <v>122</v>
      </c>
      <c r="E299" t="s">
        <v>897</v>
      </c>
      <c r="F299" s="1">
        <v>43384</v>
      </c>
      <c r="G299" t="s">
        <v>44</v>
      </c>
      <c r="H299" t="s">
        <v>124</v>
      </c>
      <c r="I299" t="s">
        <v>125</v>
      </c>
      <c r="J299">
        <v>14180</v>
      </c>
      <c r="K299" t="s">
        <v>490</v>
      </c>
      <c r="L299">
        <v>1303945</v>
      </c>
      <c r="M299">
        <v>127</v>
      </c>
      <c r="N299">
        <v>148771</v>
      </c>
      <c r="P299">
        <v>590</v>
      </c>
      <c r="R299">
        <v>1470</v>
      </c>
      <c r="U299" t="s">
        <v>861</v>
      </c>
      <c r="V299" t="s">
        <v>48</v>
      </c>
      <c r="W299" t="s">
        <v>49</v>
      </c>
      <c r="X299" t="s">
        <v>50</v>
      </c>
      <c r="Z299" t="s">
        <v>568</v>
      </c>
      <c r="AA299">
        <v>43.269699840000001</v>
      </c>
      <c r="AB299">
        <v>-79.873788750000003</v>
      </c>
      <c r="AC299" t="s">
        <v>684</v>
      </c>
      <c r="AD299" t="s">
        <v>898</v>
      </c>
      <c r="AE299" t="s">
        <v>55</v>
      </c>
      <c r="AF299" t="s">
        <v>56</v>
      </c>
      <c r="AG299">
        <v>34</v>
      </c>
      <c r="AH299">
        <v>0.15160000000000001</v>
      </c>
      <c r="AI299">
        <v>-0.60650000000000004</v>
      </c>
      <c r="AJ299">
        <v>26153</v>
      </c>
      <c r="AK299">
        <v>130</v>
      </c>
      <c r="AL299">
        <v>270</v>
      </c>
      <c r="AM299">
        <v>1244</v>
      </c>
      <c r="AP299" s="3">
        <f t="shared" si="3"/>
        <v>44628</v>
      </c>
    </row>
    <row r="300" spans="1:42" ht="14.45" hidden="1" customHeight="1" x14ac:dyDescent="0.25">
      <c r="A300" t="s">
        <v>59</v>
      </c>
      <c r="D300" t="s">
        <v>122</v>
      </c>
      <c r="E300" t="s">
        <v>899</v>
      </c>
      <c r="F300" s="1">
        <v>43384</v>
      </c>
      <c r="G300" t="s">
        <v>44</v>
      </c>
      <c r="H300" t="s">
        <v>124</v>
      </c>
      <c r="I300" t="s">
        <v>125</v>
      </c>
      <c r="J300">
        <v>14179</v>
      </c>
      <c r="K300" t="s">
        <v>490</v>
      </c>
      <c r="L300">
        <v>1303944</v>
      </c>
      <c r="M300">
        <v>128</v>
      </c>
      <c r="N300">
        <v>148583</v>
      </c>
      <c r="U300" t="s">
        <v>861</v>
      </c>
      <c r="V300" t="s">
        <v>48</v>
      </c>
      <c r="W300" t="s">
        <v>49</v>
      </c>
      <c r="X300" t="s">
        <v>50</v>
      </c>
      <c r="Z300" t="s">
        <v>568</v>
      </c>
      <c r="AA300">
        <v>43.269699840000001</v>
      </c>
      <c r="AB300">
        <v>-79.873788750000003</v>
      </c>
      <c r="AC300" t="s">
        <v>684</v>
      </c>
      <c r="AD300" t="s">
        <v>900</v>
      </c>
      <c r="AE300" t="s">
        <v>55</v>
      </c>
      <c r="AF300" t="s">
        <v>56</v>
      </c>
      <c r="AG300">
        <v>34</v>
      </c>
      <c r="AH300">
        <v>0.15160000000000001</v>
      </c>
      <c r="AI300">
        <v>-0.60650000000000004</v>
      </c>
      <c r="AJ300">
        <v>26153</v>
      </c>
      <c r="AK300">
        <v>130</v>
      </c>
      <c r="AL300">
        <v>270</v>
      </c>
      <c r="AM300">
        <v>1244</v>
      </c>
      <c r="AP300" s="3">
        <f t="shared" si="3"/>
        <v>44628</v>
      </c>
    </row>
    <row r="301" spans="1:42" ht="14.45" hidden="1" customHeight="1" x14ac:dyDescent="0.25">
      <c r="A301" t="s">
        <v>59</v>
      </c>
      <c r="D301" t="s">
        <v>578</v>
      </c>
      <c r="E301" t="s">
        <v>901</v>
      </c>
      <c r="F301" s="1">
        <v>43384</v>
      </c>
      <c r="G301" t="s">
        <v>44</v>
      </c>
      <c r="H301" t="s">
        <v>580</v>
      </c>
      <c r="I301" t="s">
        <v>581</v>
      </c>
      <c r="J301">
        <v>14178</v>
      </c>
      <c r="K301" t="s">
        <v>490</v>
      </c>
      <c r="L301">
        <v>1303943</v>
      </c>
      <c r="M301">
        <v>130</v>
      </c>
      <c r="N301">
        <v>148510</v>
      </c>
      <c r="U301" t="s">
        <v>861</v>
      </c>
      <c r="V301" t="s">
        <v>48</v>
      </c>
      <c r="W301" t="s">
        <v>49</v>
      </c>
      <c r="X301" t="s">
        <v>50</v>
      </c>
      <c r="Z301" t="s">
        <v>568</v>
      </c>
      <c r="AA301">
        <v>43.269699840000001</v>
      </c>
      <c r="AB301">
        <v>-79.873788750000003</v>
      </c>
      <c r="AC301" t="s">
        <v>684</v>
      </c>
      <c r="AD301" t="s">
        <v>902</v>
      </c>
      <c r="AE301" t="s">
        <v>55</v>
      </c>
      <c r="AF301" t="s">
        <v>56</v>
      </c>
      <c r="AG301">
        <v>34</v>
      </c>
      <c r="AH301">
        <v>0.15160000000000001</v>
      </c>
      <c r="AI301">
        <v>-0.60650000000000004</v>
      </c>
      <c r="AJ301">
        <v>26153</v>
      </c>
      <c r="AK301">
        <v>130</v>
      </c>
      <c r="AL301">
        <v>270</v>
      </c>
      <c r="AM301">
        <v>1244</v>
      </c>
      <c r="AP301" s="3">
        <f t="shared" si="3"/>
        <v>44628</v>
      </c>
    </row>
    <row r="302" spans="1:42" hidden="1" x14ac:dyDescent="0.25">
      <c r="F302" s="1">
        <v>44481</v>
      </c>
      <c r="G302" t="s">
        <v>44</v>
      </c>
      <c r="H302" t="s">
        <v>45</v>
      </c>
      <c r="I302" t="s">
        <v>46</v>
      </c>
      <c r="J302">
        <v>12548</v>
      </c>
      <c r="K302" t="s">
        <v>490</v>
      </c>
      <c r="L302">
        <v>1336202</v>
      </c>
      <c r="N302">
        <v>160393</v>
      </c>
      <c r="P302">
        <v>529</v>
      </c>
      <c r="Q302">
        <v>560</v>
      </c>
      <c r="R302">
        <v>1800</v>
      </c>
      <c r="U302" t="s">
        <v>903</v>
      </c>
      <c r="V302" t="s">
        <v>48</v>
      </c>
      <c r="W302" t="s">
        <v>49</v>
      </c>
      <c r="X302" t="s">
        <v>50</v>
      </c>
      <c r="Z302" t="s">
        <v>601</v>
      </c>
      <c r="AA302" s="5"/>
      <c r="AB302" s="5"/>
      <c r="AC302" t="s">
        <v>684</v>
      </c>
      <c r="AD302" t="s">
        <v>904</v>
      </c>
      <c r="AE302" t="s">
        <v>754</v>
      </c>
      <c r="AF302" t="s">
        <v>56</v>
      </c>
      <c r="AG302">
        <v>34</v>
      </c>
      <c r="AH302">
        <v>0.15160000000000001</v>
      </c>
      <c r="AI302">
        <v>-0.60650000000000004</v>
      </c>
      <c r="AJ302">
        <v>28841</v>
      </c>
      <c r="AK302">
        <v>130</v>
      </c>
      <c r="AL302">
        <v>270</v>
      </c>
      <c r="AM302">
        <v>1244</v>
      </c>
      <c r="AO302" t="s">
        <v>905</v>
      </c>
      <c r="AP302" s="3">
        <f t="shared" si="3"/>
        <v>45725</v>
      </c>
    </row>
    <row r="303" spans="1:42" hidden="1" x14ac:dyDescent="0.25">
      <c r="F303" s="1">
        <v>44481</v>
      </c>
      <c r="G303" t="s">
        <v>44</v>
      </c>
      <c r="H303" t="s">
        <v>45</v>
      </c>
      <c r="I303" t="s">
        <v>46</v>
      </c>
      <c r="J303">
        <v>12546</v>
      </c>
      <c r="K303" t="s">
        <v>490</v>
      </c>
      <c r="L303">
        <v>1336200</v>
      </c>
      <c r="N303">
        <v>160650</v>
      </c>
      <c r="P303">
        <v>633</v>
      </c>
      <c r="Q303">
        <v>667</v>
      </c>
      <c r="R303">
        <v>3100</v>
      </c>
      <c r="U303" t="s">
        <v>903</v>
      </c>
      <c r="V303" t="s">
        <v>48</v>
      </c>
      <c r="W303" t="s">
        <v>49</v>
      </c>
      <c r="X303" t="s">
        <v>50</v>
      </c>
      <c r="Z303" t="s">
        <v>601</v>
      </c>
      <c r="AA303" s="5"/>
      <c r="AB303" s="5"/>
      <c r="AC303" t="s">
        <v>684</v>
      </c>
      <c r="AD303" t="s">
        <v>906</v>
      </c>
      <c r="AE303" t="s">
        <v>754</v>
      </c>
      <c r="AF303" t="s">
        <v>56</v>
      </c>
      <c r="AG303">
        <v>34</v>
      </c>
      <c r="AH303">
        <v>0.15160000000000001</v>
      </c>
      <c r="AI303">
        <v>-0.60650000000000004</v>
      </c>
      <c r="AJ303">
        <v>28841</v>
      </c>
      <c r="AK303">
        <v>130</v>
      </c>
      <c r="AL303">
        <v>270</v>
      </c>
      <c r="AM303">
        <v>1244</v>
      </c>
      <c r="AP303" s="3">
        <f t="shared" si="3"/>
        <v>45725</v>
      </c>
    </row>
    <row r="304" spans="1:42" hidden="1" x14ac:dyDescent="0.25">
      <c r="F304" s="1">
        <v>44481</v>
      </c>
      <c r="G304" t="s">
        <v>44</v>
      </c>
      <c r="H304" t="s">
        <v>45</v>
      </c>
      <c r="I304" t="s">
        <v>46</v>
      </c>
      <c r="J304">
        <v>12545</v>
      </c>
      <c r="K304" t="s">
        <v>490</v>
      </c>
      <c r="L304">
        <v>1336199</v>
      </c>
      <c r="N304">
        <v>160814</v>
      </c>
      <c r="P304">
        <v>618</v>
      </c>
      <c r="Q304">
        <v>646</v>
      </c>
      <c r="R304">
        <v>2380</v>
      </c>
      <c r="U304" t="s">
        <v>903</v>
      </c>
      <c r="V304" t="s">
        <v>48</v>
      </c>
      <c r="W304" t="s">
        <v>49</v>
      </c>
      <c r="X304" t="s">
        <v>50</v>
      </c>
      <c r="Z304" t="s">
        <v>601</v>
      </c>
      <c r="AA304" s="5"/>
      <c r="AB304" s="5"/>
      <c r="AC304" t="s">
        <v>684</v>
      </c>
      <c r="AD304" t="s">
        <v>907</v>
      </c>
      <c r="AE304" t="s">
        <v>754</v>
      </c>
      <c r="AF304" t="s">
        <v>56</v>
      </c>
      <c r="AG304">
        <v>34</v>
      </c>
      <c r="AH304">
        <v>0.15160000000000001</v>
      </c>
      <c r="AI304">
        <v>-0.60650000000000004</v>
      </c>
      <c r="AJ304">
        <v>28841</v>
      </c>
      <c r="AK304">
        <v>130</v>
      </c>
      <c r="AL304">
        <v>270</v>
      </c>
      <c r="AM304">
        <v>1244</v>
      </c>
      <c r="AN304" t="s">
        <v>908</v>
      </c>
      <c r="AP304" s="3">
        <f t="shared" si="3"/>
        <v>45725</v>
      </c>
    </row>
    <row r="305" spans="6:42" ht="14.45" hidden="1" customHeight="1" x14ac:dyDescent="0.25">
      <c r="F305" s="1">
        <v>44481</v>
      </c>
      <c r="G305" t="s">
        <v>44</v>
      </c>
      <c r="H305" t="s">
        <v>580</v>
      </c>
      <c r="I305" t="s">
        <v>581</v>
      </c>
      <c r="J305">
        <v>12544</v>
      </c>
      <c r="K305" t="s">
        <v>490</v>
      </c>
      <c r="L305">
        <v>1336198</v>
      </c>
      <c r="N305">
        <v>160407</v>
      </c>
      <c r="P305">
        <v>460</v>
      </c>
      <c r="Q305">
        <v>489</v>
      </c>
      <c r="R305">
        <v>1870</v>
      </c>
      <c r="S305" t="s">
        <v>206</v>
      </c>
      <c r="U305" t="s">
        <v>903</v>
      </c>
      <c r="V305" t="s">
        <v>48</v>
      </c>
      <c r="W305" t="s">
        <v>49</v>
      </c>
      <c r="X305" t="s">
        <v>50</v>
      </c>
      <c r="Z305" t="s">
        <v>601</v>
      </c>
      <c r="AA305" s="5"/>
      <c r="AB305" s="5"/>
      <c r="AC305" t="s">
        <v>684</v>
      </c>
      <c r="AD305" t="s">
        <v>909</v>
      </c>
      <c r="AE305" t="s">
        <v>754</v>
      </c>
      <c r="AF305" t="s">
        <v>56</v>
      </c>
      <c r="AG305">
        <v>34</v>
      </c>
      <c r="AH305">
        <v>0.15160000000000001</v>
      </c>
      <c r="AI305">
        <v>-0.60650000000000004</v>
      </c>
      <c r="AJ305">
        <v>28841</v>
      </c>
      <c r="AK305">
        <v>130</v>
      </c>
      <c r="AL305">
        <v>270</v>
      </c>
      <c r="AM305">
        <v>1244</v>
      </c>
      <c r="AN305" t="s">
        <v>910</v>
      </c>
      <c r="AP305" s="3">
        <f t="shared" si="3"/>
        <v>45725</v>
      </c>
    </row>
    <row r="306" spans="6:42" ht="14.45" hidden="1" customHeight="1" x14ac:dyDescent="0.25">
      <c r="F306" s="1">
        <v>44481</v>
      </c>
      <c r="G306" t="s">
        <v>44</v>
      </c>
      <c r="H306" t="s">
        <v>580</v>
      </c>
      <c r="I306" t="s">
        <v>581</v>
      </c>
      <c r="J306">
        <v>12552</v>
      </c>
      <c r="K306" t="s">
        <v>490</v>
      </c>
      <c r="L306">
        <v>1336206</v>
      </c>
      <c r="N306">
        <v>160606</v>
      </c>
      <c r="P306">
        <v>468</v>
      </c>
      <c r="Q306">
        <v>491</v>
      </c>
      <c r="R306">
        <v>2150</v>
      </c>
      <c r="U306" t="s">
        <v>903</v>
      </c>
      <c r="V306" t="s">
        <v>48</v>
      </c>
      <c r="W306" t="s">
        <v>49</v>
      </c>
      <c r="X306" t="s">
        <v>50</v>
      </c>
      <c r="Z306" t="s">
        <v>601</v>
      </c>
      <c r="AA306" s="5"/>
      <c r="AB306" s="5"/>
      <c r="AC306" t="s">
        <v>684</v>
      </c>
      <c r="AD306" t="s">
        <v>911</v>
      </c>
      <c r="AE306" t="s">
        <v>754</v>
      </c>
      <c r="AF306" t="s">
        <v>56</v>
      </c>
      <c r="AG306">
        <v>34</v>
      </c>
      <c r="AH306">
        <v>0.15160000000000001</v>
      </c>
      <c r="AI306">
        <v>-0.60650000000000004</v>
      </c>
      <c r="AJ306">
        <v>28841</v>
      </c>
      <c r="AK306">
        <v>130</v>
      </c>
      <c r="AL306">
        <v>270</v>
      </c>
      <c r="AM306">
        <v>1244</v>
      </c>
      <c r="AP306" s="3">
        <f t="shared" si="3"/>
        <v>45725</v>
      </c>
    </row>
    <row r="307" spans="6:42" ht="14.45" hidden="1" customHeight="1" x14ac:dyDescent="0.25">
      <c r="F307" s="1">
        <v>44481</v>
      </c>
      <c r="G307" t="s">
        <v>44</v>
      </c>
      <c r="H307" t="s">
        <v>553</v>
      </c>
      <c r="I307" t="s">
        <v>554</v>
      </c>
      <c r="J307">
        <v>13696</v>
      </c>
      <c r="K307" t="s">
        <v>912</v>
      </c>
      <c r="L307">
        <v>1374816</v>
      </c>
      <c r="N307">
        <v>160577</v>
      </c>
      <c r="P307">
        <v>298</v>
      </c>
      <c r="Q307">
        <v>329</v>
      </c>
      <c r="R307">
        <v>910</v>
      </c>
      <c r="U307" t="s">
        <v>861</v>
      </c>
      <c r="V307" t="s">
        <v>48</v>
      </c>
      <c r="W307" t="s">
        <v>49</v>
      </c>
      <c r="X307" t="s">
        <v>50</v>
      </c>
      <c r="Z307" t="s">
        <v>601</v>
      </c>
      <c r="AA307" s="5"/>
      <c r="AB307" s="5"/>
      <c r="AC307" t="s">
        <v>684</v>
      </c>
      <c r="AD307" t="s">
        <v>913</v>
      </c>
      <c r="AE307" t="s">
        <v>914</v>
      </c>
      <c r="AF307" t="s">
        <v>56</v>
      </c>
      <c r="AG307">
        <v>34</v>
      </c>
      <c r="AH307">
        <v>0.15040000000000001</v>
      </c>
      <c r="AI307">
        <v>-0.6018</v>
      </c>
      <c r="AJ307">
        <v>30998</v>
      </c>
      <c r="AK307">
        <v>130</v>
      </c>
      <c r="AL307">
        <v>270</v>
      </c>
      <c r="AM307">
        <v>730</v>
      </c>
      <c r="AP307" s="3">
        <f t="shared" si="3"/>
        <v>45211</v>
      </c>
    </row>
    <row r="308" spans="6:42" ht="14.45" hidden="1" customHeight="1" x14ac:dyDescent="0.25">
      <c r="F308" s="1">
        <v>44481</v>
      </c>
      <c r="G308" t="s">
        <v>44</v>
      </c>
      <c r="H308" t="s">
        <v>553</v>
      </c>
      <c r="I308" t="s">
        <v>554</v>
      </c>
      <c r="J308">
        <v>13677</v>
      </c>
      <c r="K308" t="s">
        <v>912</v>
      </c>
      <c r="L308">
        <v>1374797</v>
      </c>
      <c r="N308">
        <v>160695</v>
      </c>
      <c r="P308">
        <v>319</v>
      </c>
      <c r="Q308">
        <v>355</v>
      </c>
      <c r="R308">
        <v>790</v>
      </c>
      <c r="U308" t="s">
        <v>861</v>
      </c>
      <c r="V308" t="s">
        <v>48</v>
      </c>
      <c r="W308" t="s">
        <v>49</v>
      </c>
      <c r="X308" t="s">
        <v>50</v>
      </c>
      <c r="Z308" t="s">
        <v>601</v>
      </c>
      <c r="AA308" s="5"/>
      <c r="AB308" s="5"/>
      <c r="AC308" t="s">
        <v>684</v>
      </c>
      <c r="AD308" t="s">
        <v>915</v>
      </c>
      <c r="AE308" t="s">
        <v>914</v>
      </c>
      <c r="AF308" t="s">
        <v>56</v>
      </c>
      <c r="AG308">
        <v>34</v>
      </c>
      <c r="AH308">
        <v>0.15040000000000001</v>
      </c>
      <c r="AI308">
        <v>-0.6018</v>
      </c>
      <c r="AJ308">
        <v>30998</v>
      </c>
      <c r="AK308">
        <v>130</v>
      </c>
      <c r="AL308">
        <v>270</v>
      </c>
      <c r="AM308">
        <v>730</v>
      </c>
      <c r="AP308" s="3">
        <f t="shared" si="3"/>
        <v>45211</v>
      </c>
    </row>
    <row r="309" spans="6:42" ht="14.45" hidden="1" customHeight="1" x14ac:dyDescent="0.25">
      <c r="F309" s="1">
        <v>44481</v>
      </c>
      <c r="G309" t="s">
        <v>44</v>
      </c>
      <c r="H309" t="s">
        <v>553</v>
      </c>
      <c r="I309" t="s">
        <v>554</v>
      </c>
      <c r="J309">
        <v>13682</v>
      </c>
      <c r="K309" t="s">
        <v>912</v>
      </c>
      <c r="L309">
        <v>1374802</v>
      </c>
      <c r="N309">
        <v>160480</v>
      </c>
      <c r="P309">
        <v>320</v>
      </c>
      <c r="Q309">
        <v>356</v>
      </c>
      <c r="R309">
        <v>1020</v>
      </c>
      <c r="U309" t="s">
        <v>861</v>
      </c>
      <c r="V309" t="s">
        <v>48</v>
      </c>
      <c r="W309" t="s">
        <v>49</v>
      </c>
      <c r="X309" t="s">
        <v>50</v>
      </c>
      <c r="Z309" t="s">
        <v>601</v>
      </c>
      <c r="AA309" s="5"/>
      <c r="AB309" s="5"/>
      <c r="AC309" t="s">
        <v>684</v>
      </c>
      <c r="AD309" t="s">
        <v>916</v>
      </c>
      <c r="AE309" t="s">
        <v>914</v>
      </c>
      <c r="AF309" t="s">
        <v>56</v>
      </c>
      <c r="AG309">
        <v>34</v>
      </c>
      <c r="AH309">
        <v>0.15040000000000001</v>
      </c>
      <c r="AI309">
        <v>-0.6018</v>
      </c>
      <c r="AJ309">
        <v>30998</v>
      </c>
      <c r="AK309">
        <v>130</v>
      </c>
      <c r="AL309">
        <v>270</v>
      </c>
      <c r="AM309">
        <v>730</v>
      </c>
      <c r="AP309" s="3">
        <f t="shared" si="3"/>
        <v>45211</v>
      </c>
    </row>
    <row r="310" spans="6:42" ht="14.45" hidden="1" customHeight="1" x14ac:dyDescent="0.25">
      <c r="F310" s="1">
        <v>44481</v>
      </c>
      <c r="G310" t="s">
        <v>44</v>
      </c>
      <c r="H310" t="s">
        <v>553</v>
      </c>
      <c r="I310" t="s">
        <v>554</v>
      </c>
      <c r="J310">
        <v>13678</v>
      </c>
      <c r="K310" t="s">
        <v>912</v>
      </c>
      <c r="L310">
        <v>1374798</v>
      </c>
      <c r="N310">
        <v>160782</v>
      </c>
      <c r="P310">
        <v>300</v>
      </c>
      <c r="Q310">
        <v>336</v>
      </c>
      <c r="R310">
        <v>1020</v>
      </c>
      <c r="U310" t="s">
        <v>861</v>
      </c>
      <c r="V310" t="s">
        <v>48</v>
      </c>
      <c r="W310" t="s">
        <v>49</v>
      </c>
      <c r="X310" t="s">
        <v>50</v>
      </c>
      <c r="Z310" t="s">
        <v>601</v>
      </c>
      <c r="AA310" s="5"/>
      <c r="AB310" s="5"/>
      <c r="AC310" t="s">
        <v>684</v>
      </c>
      <c r="AD310" t="s">
        <v>917</v>
      </c>
      <c r="AE310" t="s">
        <v>914</v>
      </c>
      <c r="AF310" t="s">
        <v>56</v>
      </c>
      <c r="AG310">
        <v>34</v>
      </c>
      <c r="AH310">
        <v>0.15040000000000001</v>
      </c>
      <c r="AI310">
        <v>-0.6018</v>
      </c>
      <c r="AJ310">
        <v>30998</v>
      </c>
      <c r="AK310">
        <v>130</v>
      </c>
      <c r="AL310">
        <v>270</v>
      </c>
      <c r="AM310">
        <v>730</v>
      </c>
      <c r="AN310" t="s">
        <v>918</v>
      </c>
      <c r="AP310" s="3">
        <f t="shared" si="3"/>
        <v>45211</v>
      </c>
    </row>
    <row r="311" spans="6:42" ht="14.45" hidden="1" customHeight="1" x14ac:dyDescent="0.25">
      <c r="F311" s="1">
        <v>44481</v>
      </c>
      <c r="G311" t="s">
        <v>44</v>
      </c>
      <c r="H311" t="s">
        <v>553</v>
      </c>
      <c r="I311" t="s">
        <v>554</v>
      </c>
      <c r="J311">
        <v>13679</v>
      </c>
      <c r="K311" t="s">
        <v>912</v>
      </c>
      <c r="L311">
        <v>1374799</v>
      </c>
      <c r="N311">
        <v>160845</v>
      </c>
      <c r="P311">
        <v>298</v>
      </c>
      <c r="Q311">
        <v>333</v>
      </c>
      <c r="R311">
        <v>880</v>
      </c>
      <c r="U311" t="s">
        <v>861</v>
      </c>
      <c r="V311" t="s">
        <v>48</v>
      </c>
      <c r="W311" t="s">
        <v>49</v>
      </c>
      <c r="X311" t="s">
        <v>50</v>
      </c>
      <c r="Z311" t="s">
        <v>601</v>
      </c>
      <c r="AA311" s="5"/>
      <c r="AB311" s="5"/>
      <c r="AC311" t="s">
        <v>684</v>
      </c>
      <c r="AD311" t="s">
        <v>919</v>
      </c>
      <c r="AE311" t="s">
        <v>914</v>
      </c>
      <c r="AF311" t="s">
        <v>56</v>
      </c>
      <c r="AG311">
        <v>34</v>
      </c>
      <c r="AH311">
        <v>0.15040000000000001</v>
      </c>
      <c r="AI311">
        <v>-0.6018</v>
      </c>
      <c r="AJ311">
        <v>30998</v>
      </c>
      <c r="AK311">
        <v>130</v>
      </c>
      <c r="AL311">
        <v>270</v>
      </c>
      <c r="AM311">
        <v>730</v>
      </c>
      <c r="AN311" t="s">
        <v>920</v>
      </c>
      <c r="AP311" s="3">
        <f t="shared" si="3"/>
        <v>45211</v>
      </c>
    </row>
    <row r="312" spans="6:42" ht="14.45" hidden="1" customHeight="1" x14ac:dyDescent="0.25">
      <c r="F312" s="1">
        <v>44482</v>
      </c>
      <c r="G312" t="s">
        <v>44</v>
      </c>
      <c r="H312" t="s">
        <v>124</v>
      </c>
      <c r="I312" t="s">
        <v>125</v>
      </c>
      <c r="J312">
        <v>12553</v>
      </c>
      <c r="K312" t="s">
        <v>490</v>
      </c>
      <c r="L312">
        <v>1336207</v>
      </c>
      <c r="N312">
        <v>160677</v>
      </c>
      <c r="P312">
        <v>620</v>
      </c>
      <c r="Q312">
        <v>668</v>
      </c>
      <c r="R312">
        <v>1910</v>
      </c>
      <c r="U312" t="s">
        <v>903</v>
      </c>
      <c r="V312" t="s">
        <v>48</v>
      </c>
      <c r="W312" t="s">
        <v>49</v>
      </c>
      <c r="X312" t="s">
        <v>50</v>
      </c>
      <c r="Z312" t="s">
        <v>921</v>
      </c>
      <c r="AA312">
        <v>43.275247489999998</v>
      </c>
      <c r="AB312">
        <v>-79.868512839999994</v>
      </c>
      <c r="AC312" t="s">
        <v>684</v>
      </c>
      <c r="AD312" t="s">
        <v>922</v>
      </c>
      <c r="AE312" t="s">
        <v>754</v>
      </c>
      <c r="AF312" t="s">
        <v>56</v>
      </c>
      <c r="AG312">
        <v>34</v>
      </c>
      <c r="AH312">
        <v>0.15160000000000001</v>
      </c>
      <c r="AI312">
        <v>-0.60650000000000004</v>
      </c>
      <c r="AJ312">
        <v>28841</v>
      </c>
      <c r="AK312">
        <v>130</v>
      </c>
      <c r="AL312">
        <v>270</v>
      </c>
      <c r="AM312">
        <v>1244</v>
      </c>
      <c r="AN312" t="s">
        <v>923</v>
      </c>
      <c r="AP312" s="3">
        <f t="shared" si="3"/>
        <v>45726</v>
      </c>
    </row>
    <row r="313" spans="6:42" ht="14.45" hidden="1" customHeight="1" x14ac:dyDescent="0.25">
      <c r="F313" s="1">
        <v>44482</v>
      </c>
      <c r="G313" t="s">
        <v>44</v>
      </c>
      <c r="H313" t="s">
        <v>580</v>
      </c>
      <c r="I313" t="s">
        <v>581</v>
      </c>
      <c r="J313">
        <v>12550</v>
      </c>
      <c r="K313" t="s">
        <v>490</v>
      </c>
      <c r="L313">
        <v>1336204</v>
      </c>
      <c r="N313">
        <v>160642</v>
      </c>
      <c r="P313">
        <v>381</v>
      </c>
      <c r="Q313">
        <v>395</v>
      </c>
      <c r="R313">
        <v>1180</v>
      </c>
      <c r="U313" t="s">
        <v>903</v>
      </c>
      <c r="V313" t="s">
        <v>48</v>
      </c>
      <c r="W313" t="s">
        <v>49</v>
      </c>
      <c r="X313" t="s">
        <v>50</v>
      </c>
      <c r="Z313" t="s">
        <v>921</v>
      </c>
      <c r="AA313">
        <v>43.275247489999998</v>
      </c>
      <c r="AB313">
        <v>-79.868512839999994</v>
      </c>
      <c r="AC313" t="s">
        <v>684</v>
      </c>
      <c r="AD313" t="s">
        <v>924</v>
      </c>
      <c r="AE313" t="s">
        <v>754</v>
      </c>
      <c r="AF313" t="s">
        <v>56</v>
      </c>
      <c r="AG313">
        <v>34</v>
      </c>
      <c r="AH313">
        <v>0.15160000000000001</v>
      </c>
      <c r="AI313">
        <v>-0.60650000000000004</v>
      </c>
      <c r="AJ313">
        <v>28841</v>
      </c>
      <c r="AK313">
        <v>130</v>
      </c>
      <c r="AL313">
        <v>270</v>
      </c>
      <c r="AM313">
        <v>1244</v>
      </c>
      <c r="AP313" s="3">
        <f t="shared" si="3"/>
        <v>45726</v>
      </c>
    </row>
    <row r="314" spans="6:42" ht="14.45" hidden="1" customHeight="1" x14ac:dyDescent="0.25">
      <c r="F314" s="1">
        <v>44482</v>
      </c>
      <c r="G314" t="s">
        <v>44</v>
      </c>
      <c r="H314" t="s">
        <v>553</v>
      </c>
      <c r="I314" t="s">
        <v>554</v>
      </c>
      <c r="J314">
        <v>13680</v>
      </c>
      <c r="K314" t="s">
        <v>912</v>
      </c>
      <c r="L314">
        <v>1374800</v>
      </c>
      <c r="N314">
        <v>160813</v>
      </c>
      <c r="P314">
        <v>311</v>
      </c>
      <c r="Q314">
        <v>344</v>
      </c>
      <c r="R314">
        <v>1040</v>
      </c>
      <c r="U314" t="s">
        <v>903</v>
      </c>
      <c r="V314" t="s">
        <v>48</v>
      </c>
      <c r="W314" t="s">
        <v>49</v>
      </c>
      <c r="X314" t="s">
        <v>50</v>
      </c>
      <c r="Z314" t="s">
        <v>921</v>
      </c>
      <c r="AA314">
        <v>43.275247489999998</v>
      </c>
      <c r="AB314">
        <v>-79.868512839999994</v>
      </c>
      <c r="AC314" t="s">
        <v>684</v>
      </c>
      <c r="AD314" t="s">
        <v>925</v>
      </c>
      <c r="AE314" t="s">
        <v>914</v>
      </c>
      <c r="AF314" t="s">
        <v>56</v>
      </c>
      <c r="AG314">
        <v>34</v>
      </c>
      <c r="AH314">
        <v>0.15040000000000001</v>
      </c>
      <c r="AI314">
        <v>-0.6018</v>
      </c>
      <c r="AJ314">
        <v>30998</v>
      </c>
      <c r="AK314">
        <v>130</v>
      </c>
      <c r="AL314">
        <v>270</v>
      </c>
      <c r="AM314">
        <v>730</v>
      </c>
      <c r="AP314" s="3">
        <f t="shared" si="3"/>
        <v>45212</v>
      </c>
    </row>
    <row r="315" spans="6:42" ht="14.45" hidden="1" customHeight="1" x14ac:dyDescent="0.25">
      <c r="F315" s="1">
        <v>44482</v>
      </c>
      <c r="G315" t="s">
        <v>44</v>
      </c>
      <c r="H315" t="s">
        <v>553</v>
      </c>
      <c r="I315" t="s">
        <v>554</v>
      </c>
      <c r="J315">
        <v>13681</v>
      </c>
      <c r="K315" t="s">
        <v>912</v>
      </c>
      <c r="L315">
        <v>1374801</v>
      </c>
      <c r="N315">
        <v>160831</v>
      </c>
      <c r="P315">
        <v>320</v>
      </c>
      <c r="Q315">
        <v>359</v>
      </c>
      <c r="R315">
        <v>1230</v>
      </c>
      <c r="U315" t="s">
        <v>903</v>
      </c>
      <c r="V315" t="s">
        <v>48</v>
      </c>
      <c r="W315" t="s">
        <v>49</v>
      </c>
      <c r="X315" t="s">
        <v>50</v>
      </c>
      <c r="Z315" t="s">
        <v>921</v>
      </c>
      <c r="AA315">
        <v>43.275247489999998</v>
      </c>
      <c r="AB315">
        <v>-79.868512839999994</v>
      </c>
      <c r="AC315" t="s">
        <v>684</v>
      </c>
      <c r="AD315" t="s">
        <v>926</v>
      </c>
      <c r="AE315" t="s">
        <v>914</v>
      </c>
      <c r="AF315" t="s">
        <v>56</v>
      </c>
      <c r="AG315">
        <v>34</v>
      </c>
      <c r="AH315">
        <v>0.15040000000000001</v>
      </c>
      <c r="AI315">
        <v>-0.6018</v>
      </c>
      <c r="AJ315">
        <v>30998</v>
      </c>
      <c r="AK315">
        <v>130</v>
      </c>
      <c r="AL315">
        <v>270</v>
      </c>
      <c r="AM315">
        <v>730</v>
      </c>
      <c r="AP315" s="3">
        <f t="shared" si="3"/>
        <v>45212</v>
      </c>
    </row>
    <row r="316" spans="6:42" ht="14.45" hidden="1" customHeight="1" x14ac:dyDescent="0.25">
      <c r="F316" s="1">
        <v>44482</v>
      </c>
      <c r="G316" t="s">
        <v>44</v>
      </c>
      <c r="H316" t="s">
        <v>553</v>
      </c>
      <c r="I316" t="s">
        <v>554</v>
      </c>
      <c r="J316">
        <v>13686</v>
      </c>
      <c r="K316" t="s">
        <v>912</v>
      </c>
      <c r="L316">
        <v>1374806</v>
      </c>
      <c r="N316">
        <v>160551</v>
      </c>
      <c r="P316">
        <v>343</v>
      </c>
      <c r="Q316">
        <v>380</v>
      </c>
      <c r="R316">
        <v>1100</v>
      </c>
      <c r="U316" t="s">
        <v>903</v>
      </c>
      <c r="V316" t="s">
        <v>48</v>
      </c>
      <c r="W316" t="s">
        <v>49</v>
      </c>
      <c r="X316" t="s">
        <v>50</v>
      </c>
      <c r="Z316" t="s">
        <v>921</v>
      </c>
      <c r="AA316">
        <v>43.275247489999998</v>
      </c>
      <c r="AB316">
        <v>-79.868512839999994</v>
      </c>
      <c r="AC316" t="s">
        <v>684</v>
      </c>
      <c r="AD316" t="s">
        <v>927</v>
      </c>
      <c r="AE316" t="s">
        <v>914</v>
      </c>
      <c r="AF316" t="s">
        <v>56</v>
      </c>
      <c r="AG316">
        <v>34</v>
      </c>
      <c r="AH316">
        <v>0.15040000000000001</v>
      </c>
      <c r="AI316">
        <v>-0.6018</v>
      </c>
      <c r="AJ316">
        <v>30998</v>
      </c>
      <c r="AK316">
        <v>130</v>
      </c>
      <c r="AL316">
        <v>270</v>
      </c>
      <c r="AM316">
        <v>730</v>
      </c>
      <c r="AP316" s="3">
        <f t="shared" si="3"/>
        <v>45212</v>
      </c>
    </row>
    <row r="317" spans="6:42" ht="14.45" hidden="1" customHeight="1" x14ac:dyDescent="0.25">
      <c r="F317" s="1">
        <v>44482</v>
      </c>
      <c r="G317" t="s">
        <v>44</v>
      </c>
      <c r="H317" t="s">
        <v>553</v>
      </c>
      <c r="I317" t="s">
        <v>554</v>
      </c>
      <c r="J317">
        <v>13685</v>
      </c>
      <c r="K317" t="s">
        <v>912</v>
      </c>
      <c r="L317">
        <v>1374805</v>
      </c>
      <c r="N317">
        <v>160467</v>
      </c>
      <c r="P317">
        <v>299</v>
      </c>
      <c r="Q317">
        <v>329</v>
      </c>
      <c r="R317">
        <v>760</v>
      </c>
      <c r="U317" t="s">
        <v>903</v>
      </c>
      <c r="V317" t="s">
        <v>48</v>
      </c>
      <c r="W317" t="s">
        <v>49</v>
      </c>
      <c r="X317" t="s">
        <v>50</v>
      </c>
      <c r="Z317" t="s">
        <v>921</v>
      </c>
      <c r="AA317">
        <v>43.275247489999998</v>
      </c>
      <c r="AB317">
        <v>-79.868512839999994</v>
      </c>
      <c r="AC317" t="s">
        <v>684</v>
      </c>
      <c r="AD317" t="s">
        <v>928</v>
      </c>
      <c r="AE317" t="s">
        <v>914</v>
      </c>
      <c r="AF317" t="s">
        <v>56</v>
      </c>
      <c r="AG317">
        <v>34</v>
      </c>
      <c r="AH317">
        <v>0.15040000000000001</v>
      </c>
      <c r="AI317">
        <v>-0.6018</v>
      </c>
      <c r="AJ317">
        <v>30998</v>
      </c>
      <c r="AK317">
        <v>130</v>
      </c>
      <c r="AL317">
        <v>270</v>
      </c>
      <c r="AM317">
        <v>730</v>
      </c>
      <c r="AN317" t="s">
        <v>929</v>
      </c>
      <c r="AP317" s="3">
        <f t="shared" si="3"/>
        <v>45212</v>
      </c>
    </row>
    <row r="318" spans="6:42" ht="14.45" hidden="1" customHeight="1" x14ac:dyDescent="0.25">
      <c r="F318" s="1">
        <v>44482</v>
      </c>
      <c r="G318" t="s">
        <v>44</v>
      </c>
      <c r="H318" t="s">
        <v>124</v>
      </c>
      <c r="I318" t="s">
        <v>125</v>
      </c>
      <c r="J318">
        <v>12549</v>
      </c>
      <c r="K318" t="s">
        <v>490</v>
      </c>
      <c r="L318">
        <v>1336203</v>
      </c>
      <c r="N318">
        <v>160662</v>
      </c>
      <c r="P318">
        <v>678</v>
      </c>
      <c r="Q318">
        <v>721</v>
      </c>
      <c r="R318">
        <v>1990</v>
      </c>
      <c r="U318" t="s">
        <v>903</v>
      </c>
      <c r="V318" t="s">
        <v>48</v>
      </c>
      <c r="W318" t="s">
        <v>49</v>
      </c>
      <c r="X318" t="s">
        <v>50</v>
      </c>
      <c r="Z318" t="s">
        <v>568</v>
      </c>
      <c r="AA318">
        <v>43.269699840000001</v>
      </c>
      <c r="AB318">
        <v>-79.873788750000003</v>
      </c>
      <c r="AC318" t="s">
        <v>684</v>
      </c>
      <c r="AD318" t="s">
        <v>930</v>
      </c>
      <c r="AE318" t="s">
        <v>754</v>
      </c>
      <c r="AF318" t="s">
        <v>56</v>
      </c>
      <c r="AG318">
        <v>34</v>
      </c>
      <c r="AH318">
        <v>0.15160000000000001</v>
      </c>
      <c r="AI318">
        <v>-0.60650000000000004</v>
      </c>
      <c r="AJ318">
        <v>28841</v>
      </c>
      <c r="AK318">
        <v>130</v>
      </c>
      <c r="AL318">
        <v>270</v>
      </c>
      <c r="AM318">
        <v>1244</v>
      </c>
      <c r="AP318" s="3">
        <f t="shared" si="3"/>
        <v>45726</v>
      </c>
    </row>
    <row r="319" spans="6:42" ht="14.45" hidden="1" customHeight="1" x14ac:dyDescent="0.25">
      <c r="F319" s="1">
        <v>44482</v>
      </c>
      <c r="G319" t="s">
        <v>44</v>
      </c>
      <c r="H319" t="s">
        <v>580</v>
      </c>
      <c r="I319" t="s">
        <v>581</v>
      </c>
      <c r="J319">
        <v>4488</v>
      </c>
      <c r="K319" t="s">
        <v>931</v>
      </c>
      <c r="L319">
        <v>1374777</v>
      </c>
      <c r="N319">
        <v>160427</v>
      </c>
      <c r="P319">
        <v>467</v>
      </c>
      <c r="Q319">
        <v>491</v>
      </c>
      <c r="R319">
        <v>1999</v>
      </c>
      <c r="U319" t="s">
        <v>903</v>
      </c>
      <c r="V319" t="s">
        <v>48</v>
      </c>
      <c r="W319" t="s">
        <v>49</v>
      </c>
      <c r="X319" t="s">
        <v>50</v>
      </c>
      <c r="Z319" t="s">
        <v>568</v>
      </c>
      <c r="AA319">
        <v>43.269699840000001</v>
      </c>
      <c r="AB319">
        <v>-79.873788750000003</v>
      </c>
      <c r="AC319" t="s">
        <v>684</v>
      </c>
      <c r="AD319" t="s">
        <v>932</v>
      </c>
      <c r="AE319" t="s">
        <v>933</v>
      </c>
      <c r="AF319" t="s">
        <v>56</v>
      </c>
      <c r="AG319">
        <v>34</v>
      </c>
      <c r="AH319">
        <v>0.15160000000000001</v>
      </c>
      <c r="AI319">
        <v>-0.60650000000000004</v>
      </c>
      <c r="AJ319">
        <v>30998</v>
      </c>
      <c r="AK319">
        <v>130</v>
      </c>
      <c r="AL319">
        <v>270</v>
      </c>
      <c r="AM319">
        <v>1392</v>
      </c>
      <c r="AN319" t="s">
        <v>934</v>
      </c>
      <c r="AP319" s="3">
        <f t="shared" si="3"/>
        <v>45874</v>
      </c>
    </row>
    <row r="320" spans="6:42" ht="14.45" hidden="1" customHeight="1" x14ac:dyDescent="0.25">
      <c r="F320" s="1">
        <v>44482</v>
      </c>
      <c r="G320" t="s">
        <v>44</v>
      </c>
      <c r="H320" t="s">
        <v>553</v>
      </c>
      <c r="I320" t="s">
        <v>554</v>
      </c>
      <c r="J320">
        <v>13687</v>
      </c>
      <c r="K320" t="s">
        <v>912</v>
      </c>
      <c r="L320">
        <v>1374807</v>
      </c>
      <c r="N320">
        <v>160446</v>
      </c>
      <c r="P320">
        <v>318</v>
      </c>
      <c r="Q320">
        <v>349</v>
      </c>
      <c r="R320">
        <v>1220</v>
      </c>
      <c r="U320" t="s">
        <v>903</v>
      </c>
      <c r="V320" t="s">
        <v>48</v>
      </c>
      <c r="W320" t="s">
        <v>49</v>
      </c>
      <c r="X320" t="s">
        <v>50</v>
      </c>
      <c r="Z320" t="s">
        <v>568</v>
      </c>
      <c r="AA320">
        <v>43.269699840000001</v>
      </c>
      <c r="AB320">
        <v>-79.873788750000003</v>
      </c>
      <c r="AC320" t="s">
        <v>684</v>
      </c>
      <c r="AD320" t="s">
        <v>935</v>
      </c>
      <c r="AE320" t="s">
        <v>914</v>
      </c>
      <c r="AF320" t="s">
        <v>56</v>
      </c>
      <c r="AG320">
        <v>34</v>
      </c>
      <c r="AH320">
        <v>0.15040000000000001</v>
      </c>
      <c r="AI320">
        <v>-0.6018</v>
      </c>
      <c r="AJ320">
        <v>30998</v>
      </c>
      <c r="AK320">
        <v>130</v>
      </c>
      <c r="AL320">
        <v>270</v>
      </c>
      <c r="AM320">
        <v>730</v>
      </c>
      <c r="AP320" s="3">
        <f t="shared" si="3"/>
        <v>45212</v>
      </c>
    </row>
    <row r="321" spans="6:42" hidden="1" x14ac:dyDescent="0.25">
      <c r="F321" s="1">
        <v>44482</v>
      </c>
      <c r="G321" t="s">
        <v>44</v>
      </c>
      <c r="H321" t="s">
        <v>45</v>
      </c>
      <c r="I321" t="s">
        <v>46</v>
      </c>
      <c r="J321">
        <v>4489</v>
      </c>
      <c r="K321" t="s">
        <v>931</v>
      </c>
      <c r="L321">
        <v>1374778</v>
      </c>
      <c r="N321">
        <v>160747</v>
      </c>
      <c r="P321">
        <v>611</v>
      </c>
      <c r="Q321">
        <v>640</v>
      </c>
      <c r="R321">
        <v>3080</v>
      </c>
      <c r="U321" t="s">
        <v>903</v>
      </c>
      <c r="V321" t="s">
        <v>48</v>
      </c>
      <c r="W321" t="s">
        <v>49</v>
      </c>
      <c r="X321" t="s">
        <v>50</v>
      </c>
      <c r="Z321" t="s">
        <v>936</v>
      </c>
      <c r="AA321">
        <v>43.300870959999997</v>
      </c>
      <c r="AB321">
        <v>-79.803702790000003</v>
      </c>
      <c r="AC321" t="s">
        <v>684</v>
      </c>
      <c r="AD321" t="s">
        <v>937</v>
      </c>
      <c r="AE321" t="s">
        <v>933</v>
      </c>
      <c r="AF321" t="s">
        <v>56</v>
      </c>
      <c r="AG321">
        <v>34</v>
      </c>
      <c r="AH321">
        <v>0.15160000000000001</v>
      </c>
      <c r="AI321">
        <v>-0.60650000000000004</v>
      </c>
      <c r="AJ321">
        <v>30998</v>
      </c>
      <c r="AK321">
        <v>130</v>
      </c>
      <c r="AL321">
        <v>270</v>
      </c>
      <c r="AM321">
        <v>1392</v>
      </c>
      <c r="AP321" s="3">
        <f t="shared" si="3"/>
        <v>45874</v>
      </c>
    </row>
    <row r="322" spans="6:42" hidden="1" x14ac:dyDescent="0.25">
      <c r="F322" s="1">
        <v>44482</v>
      </c>
      <c r="G322" t="s">
        <v>44</v>
      </c>
      <c r="H322" t="s">
        <v>45</v>
      </c>
      <c r="I322" t="s">
        <v>46</v>
      </c>
      <c r="J322">
        <v>4490</v>
      </c>
      <c r="K322" t="s">
        <v>931</v>
      </c>
      <c r="L322">
        <v>1374779</v>
      </c>
      <c r="N322">
        <v>160839</v>
      </c>
      <c r="P322">
        <v>628</v>
      </c>
      <c r="Q322">
        <v>660</v>
      </c>
      <c r="R322">
        <v>3580</v>
      </c>
      <c r="U322" t="s">
        <v>903</v>
      </c>
      <c r="V322" t="s">
        <v>48</v>
      </c>
      <c r="W322" t="s">
        <v>49</v>
      </c>
      <c r="X322" t="s">
        <v>50</v>
      </c>
      <c r="Z322" t="s">
        <v>936</v>
      </c>
      <c r="AA322">
        <v>43.300870959999997</v>
      </c>
      <c r="AB322">
        <v>-79.803702790000003</v>
      </c>
      <c r="AC322" t="s">
        <v>684</v>
      </c>
      <c r="AD322" t="s">
        <v>938</v>
      </c>
      <c r="AE322" t="s">
        <v>933</v>
      </c>
      <c r="AF322" t="s">
        <v>56</v>
      </c>
      <c r="AG322">
        <v>34</v>
      </c>
      <c r="AH322">
        <v>0.15160000000000001</v>
      </c>
      <c r="AI322">
        <v>-0.60650000000000004</v>
      </c>
      <c r="AJ322">
        <v>30998</v>
      </c>
      <c r="AK322">
        <v>130</v>
      </c>
      <c r="AL322">
        <v>270</v>
      </c>
      <c r="AM322">
        <v>1392</v>
      </c>
      <c r="AP322" s="3">
        <f t="shared" si="3"/>
        <v>45874</v>
      </c>
    </row>
    <row r="323" spans="6:42" ht="14.45" customHeight="1" x14ac:dyDescent="0.25">
      <c r="F323" s="1">
        <v>44482</v>
      </c>
      <c r="G323" t="s">
        <v>44</v>
      </c>
      <c r="H323" t="s">
        <v>607</v>
      </c>
      <c r="I323" t="s">
        <v>779</v>
      </c>
      <c r="J323">
        <v>9155</v>
      </c>
      <c r="K323" t="s">
        <v>490</v>
      </c>
      <c r="L323">
        <v>1336070</v>
      </c>
      <c r="N323">
        <v>160811</v>
      </c>
      <c r="P323">
        <v>245</v>
      </c>
      <c r="Q323">
        <v>270</v>
      </c>
      <c r="R323">
        <v>460</v>
      </c>
      <c r="U323" t="s">
        <v>903</v>
      </c>
      <c r="V323" t="s">
        <v>48</v>
      </c>
      <c r="W323" t="s">
        <v>49</v>
      </c>
      <c r="X323" t="s">
        <v>50</v>
      </c>
      <c r="Z323" t="s">
        <v>936</v>
      </c>
      <c r="AA323">
        <v>43.300870959999997</v>
      </c>
      <c r="AB323">
        <v>-79.803702790000003</v>
      </c>
      <c r="AC323" t="s">
        <v>684</v>
      </c>
      <c r="AD323" t="s">
        <v>939</v>
      </c>
      <c r="AE323" t="s">
        <v>765</v>
      </c>
      <c r="AF323" t="s">
        <v>56</v>
      </c>
      <c r="AG323">
        <v>34</v>
      </c>
      <c r="AH323">
        <v>0.15040000000000001</v>
      </c>
      <c r="AI323">
        <v>-0.6018</v>
      </c>
      <c r="AJ323">
        <v>28837</v>
      </c>
      <c r="AK323">
        <v>130</v>
      </c>
      <c r="AL323">
        <v>230</v>
      </c>
      <c r="AM323">
        <v>675</v>
      </c>
      <c r="AP323" s="3">
        <f t="shared" si="3"/>
        <v>45157</v>
      </c>
    </row>
    <row r="324" spans="6:42" ht="14.45" customHeight="1" x14ac:dyDescent="0.25">
      <c r="F324" s="1">
        <v>44482</v>
      </c>
      <c r="G324" t="s">
        <v>44</v>
      </c>
      <c r="H324" t="s">
        <v>607</v>
      </c>
      <c r="I324" t="s">
        <v>779</v>
      </c>
      <c r="J324">
        <v>9149</v>
      </c>
      <c r="K324" t="s">
        <v>490</v>
      </c>
      <c r="L324">
        <v>1336064</v>
      </c>
      <c r="N324">
        <v>160440</v>
      </c>
      <c r="P324">
        <v>355</v>
      </c>
      <c r="Q324">
        <v>390</v>
      </c>
      <c r="R324">
        <v>1350</v>
      </c>
      <c r="U324" t="s">
        <v>903</v>
      </c>
      <c r="V324" t="s">
        <v>48</v>
      </c>
      <c r="W324" t="s">
        <v>49</v>
      </c>
      <c r="X324" t="s">
        <v>50</v>
      </c>
      <c r="Z324" t="s">
        <v>936</v>
      </c>
      <c r="AA324">
        <v>43.300870959999997</v>
      </c>
      <c r="AB324">
        <v>-79.803702790000003</v>
      </c>
      <c r="AC324" t="s">
        <v>684</v>
      </c>
      <c r="AD324" t="s">
        <v>940</v>
      </c>
      <c r="AE324" t="s">
        <v>765</v>
      </c>
      <c r="AF324" t="s">
        <v>56</v>
      </c>
      <c r="AG324">
        <v>34</v>
      </c>
      <c r="AH324">
        <v>0.15040000000000001</v>
      </c>
      <c r="AI324">
        <v>-0.6018</v>
      </c>
      <c r="AJ324">
        <v>28837</v>
      </c>
      <c r="AK324">
        <v>130</v>
      </c>
      <c r="AL324">
        <v>230</v>
      </c>
      <c r="AM324">
        <v>675</v>
      </c>
      <c r="AP324" s="3">
        <f t="shared" si="3"/>
        <v>45157</v>
      </c>
    </row>
    <row r="325" spans="6:42" ht="14.45" customHeight="1" x14ac:dyDescent="0.25">
      <c r="F325" s="1">
        <v>44482</v>
      </c>
      <c r="G325" t="s">
        <v>44</v>
      </c>
      <c r="H325" t="s">
        <v>607</v>
      </c>
      <c r="I325" t="s">
        <v>779</v>
      </c>
      <c r="J325">
        <v>9150</v>
      </c>
      <c r="K325" t="s">
        <v>490</v>
      </c>
      <c r="L325">
        <v>1336065</v>
      </c>
      <c r="N325">
        <v>160853</v>
      </c>
      <c r="P325">
        <v>360</v>
      </c>
      <c r="Q325">
        <v>402</v>
      </c>
      <c r="R325">
        <v>1370</v>
      </c>
      <c r="U325" t="s">
        <v>903</v>
      </c>
      <c r="V325" t="s">
        <v>48</v>
      </c>
      <c r="W325" t="s">
        <v>49</v>
      </c>
      <c r="X325" t="s">
        <v>50</v>
      </c>
      <c r="Z325" t="s">
        <v>936</v>
      </c>
      <c r="AA325">
        <v>43.300870959999997</v>
      </c>
      <c r="AB325">
        <v>-79.803702790000003</v>
      </c>
      <c r="AC325" t="s">
        <v>684</v>
      </c>
      <c r="AD325" t="s">
        <v>941</v>
      </c>
      <c r="AE325" t="s">
        <v>765</v>
      </c>
      <c r="AF325" t="s">
        <v>56</v>
      </c>
      <c r="AG325">
        <v>34</v>
      </c>
      <c r="AH325">
        <v>0.15040000000000001</v>
      </c>
      <c r="AI325">
        <v>-0.6018</v>
      </c>
      <c r="AJ325">
        <v>28837</v>
      </c>
      <c r="AK325">
        <v>130</v>
      </c>
      <c r="AL325">
        <v>230</v>
      </c>
      <c r="AM325">
        <v>675</v>
      </c>
      <c r="AP325" s="3">
        <f t="shared" si="3"/>
        <v>45157</v>
      </c>
    </row>
    <row r="326" spans="6:42" ht="14.45" customHeight="1" x14ac:dyDescent="0.25">
      <c r="F326" s="1">
        <v>44482</v>
      </c>
      <c r="G326" t="s">
        <v>44</v>
      </c>
      <c r="H326" t="s">
        <v>607</v>
      </c>
      <c r="I326" t="s">
        <v>779</v>
      </c>
      <c r="J326">
        <v>9157</v>
      </c>
      <c r="K326" t="s">
        <v>490</v>
      </c>
      <c r="L326">
        <v>1336072</v>
      </c>
      <c r="N326">
        <v>160821</v>
      </c>
      <c r="P326">
        <v>247</v>
      </c>
      <c r="Q326">
        <v>274</v>
      </c>
      <c r="R326">
        <v>470</v>
      </c>
      <c r="U326" t="s">
        <v>903</v>
      </c>
      <c r="V326" t="s">
        <v>48</v>
      </c>
      <c r="W326" t="s">
        <v>49</v>
      </c>
      <c r="X326" t="s">
        <v>50</v>
      </c>
      <c r="Z326" t="s">
        <v>936</v>
      </c>
      <c r="AA326">
        <v>43.300870959999997</v>
      </c>
      <c r="AB326">
        <v>-79.803702790000003</v>
      </c>
      <c r="AC326" t="s">
        <v>684</v>
      </c>
      <c r="AD326" t="s">
        <v>942</v>
      </c>
      <c r="AE326" t="s">
        <v>765</v>
      </c>
      <c r="AF326" t="s">
        <v>56</v>
      </c>
      <c r="AG326">
        <v>34</v>
      </c>
      <c r="AH326">
        <v>0.15040000000000001</v>
      </c>
      <c r="AI326">
        <v>-0.6018</v>
      </c>
      <c r="AJ326">
        <v>28837</v>
      </c>
      <c r="AK326">
        <v>130</v>
      </c>
      <c r="AL326">
        <v>230</v>
      </c>
      <c r="AM326">
        <v>675</v>
      </c>
      <c r="AP326" s="3">
        <f t="shared" si="3"/>
        <v>45157</v>
      </c>
    </row>
    <row r="327" spans="6:42" hidden="1" x14ac:dyDescent="0.25">
      <c r="F327" s="1">
        <v>44483</v>
      </c>
      <c r="G327" t="s">
        <v>44</v>
      </c>
      <c r="H327" t="s">
        <v>45</v>
      </c>
      <c r="I327" t="s">
        <v>46</v>
      </c>
      <c r="J327">
        <v>4492</v>
      </c>
      <c r="K327" t="s">
        <v>931</v>
      </c>
      <c r="L327">
        <v>1374781</v>
      </c>
      <c r="N327">
        <v>160772</v>
      </c>
      <c r="P327">
        <v>350</v>
      </c>
      <c r="Q327">
        <v>372</v>
      </c>
      <c r="R327">
        <v>640</v>
      </c>
      <c r="U327" t="s">
        <v>903</v>
      </c>
      <c r="V327" t="s">
        <v>48</v>
      </c>
      <c r="W327" t="s">
        <v>49</v>
      </c>
      <c r="X327" t="s">
        <v>50</v>
      </c>
      <c r="Z327" t="s">
        <v>943</v>
      </c>
      <c r="AA327" s="5"/>
      <c r="AB327" s="5"/>
      <c r="AC327" t="s">
        <v>684</v>
      </c>
      <c r="AD327" t="s">
        <v>944</v>
      </c>
      <c r="AE327" t="s">
        <v>933</v>
      </c>
      <c r="AF327" t="s">
        <v>56</v>
      </c>
      <c r="AG327">
        <v>34</v>
      </c>
      <c r="AH327">
        <v>0.15160000000000001</v>
      </c>
      <c r="AI327">
        <v>-0.60650000000000004</v>
      </c>
      <c r="AJ327">
        <v>30998</v>
      </c>
      <c r="AK327">
        <v>130</v>
      </c>
      <c r="AL327">
        <v>270</v>
      </c>
      <c r="AM327">
        <v>1392</v>
      </c>
      <c r="AN327" t="s">
        <v>945</v>
      </c>
      <c r="AP327" s="3">
        <f t="shared" si="3"/>
        <v>45875</v>
      </c>
    </row>
    <row r="328" spans="6:42" hidden="1" x14ac:dyDescent="0.25">
      <c r="F328" s="1">
        <v>44483</v>
      </c>
      <c r="G328" t="s">
        <v>44</v>
      </c>
      <c r="H328" t="s">
        <v>45</v>
      </c>
      <c r="I328" t="s">
        <v>46</v>
      </c>
      <c r="J328">
        <v>4497</v>
      </c>
      <c r="K328" t="s">
        <v>931</v>
      </c>
      <c r="L328">
        <v>1374786</v>
      </c>
      <c r="N328">
        <v>160464</v>
      </c>
      <c r="P328">
        <v>330</v>
      </c>
      <c r="Q328">
        <v>352</v>
      </c>
      <c r="R328">
        <v>510</v>
      </c>
      <c r="U328" t="s">
        <v>903</v>
      </c>
      <c r="V328" t="s">
        <v>48</v>
      </c>
      <c r="W328" t="s">
        <v>49</v>
      </c>
      <c r="X328" t="s">
        <v>50</v>
      </c>
      <c r="Z328" t="s">
        <v>943</v>
      </c>
      <c r="AA328" s="5"/>
      <c r="AB328" s="5"/>
      <c r="AC328" t="s">
        <v>684</v>
      </c>
      <c r="AD328" t="s">
        <v>946</v>
      </c>
      <c r="AE328" t="s">
        <v>933</v>
      </c>
      <c r="AF328" t="s">
        <v>56</v>
      </c>
      <c r="AG328">
        <v>34</v>
      </c>
      <c r="AH328">
        <v>0.15160000000000001</v>
      </c>
      <c r="AI328">
        <v>-0.60650000000000004</v>
      </c>
      <c r="AJ328">
        <v>30998</v>
      </c>
      <c r="AK328">
        <v>130</v>
      </c>
      <c r="AL328">
        <v>270</v>
      </c>
      <c r="AM328">
        <v>1392</v>
      </c>
      <c r="AP328" s="3">
        <f t="shared" si="3"/>
        <v>45875</v>
      </c>
    </row>
    <row r="329" spans="6:42" hidden="1" x14ac:dyDescent="0.25">
      <c r="F329" s="1">
        <v>44483</v>
      </c>
      <c r="G329" t="s">
        <v>44</v>
      </c>
      <c r="H329" t="s">
        <v>45</v>
      </c>
      <c r="I329" t="s">
        <v>46</v>
      </c>
      <c r="J329">
        <v>4496</v>
      </c>
      <c r="K329" t="s">
        <v>931</v>
      </c>
      <c r="L329">
        <v>1374785</v>
      </c>
      <c r="N329">
        <v>160675</v>
      </c>
      <c r="P329">
        <v>346</v>
      </c>
      <c r="Q329">
        <v>368</v>
      </c>
      <c r="R329">
        <v>530</v>
      </c>
      <c r="U329" t="s">
        <v>903</v>
      </c>
      <c r="V329" t="s">
        <v>48</v>
      </c>
      <c r="W329" t="s">
        <v>49</v>
      </c>
      <c r="X329" t="s">
        <v>50</v>
      </c>
      <c r="Z329" t="s">
        <v>943</v>
      </c>
      <c r="AA329" s="5"/>
      <c r="AB329" s="5"/>
      <c r="AC329" t="s">
        <v>684</v>
      </c>
      <c r="AD329" t="s">
        <v>947</v>
      </c>
      <c r="AE329" t="s">
        <v>933</v>
      </c>
      <c r="AF329" t="s">
        <v>56</v>
      </c>
      <c r="AG329">
        <v>34</v>
      </c>
      <c r="AH329">
        <v>0.15160000000000001</v>
      </c>
      <c r="AI329">
        <v>-0.60650000000000004</v>
      </c>
      <c r="AJ329">
        <v>30998</v>
      </c>
      <c r="AK329">
        <v>130</v>
      </c>
      <c r="AL329">
        <v>270</v>
      </c>
      <c r="AM329">
        <v>1392</v>
      </c>
      <c r="AP329" s="3">
        <f t="shared" si="3"/>
        <v>45875</v>
      </c>
    </row>
    <row r="330" spans="6:42" hidden="1" x14ac:dyDescent="0.25">
      <c r="F330" s="1">
        <v>44483</v>
      </c>
      <c r="G330" t="s">
        <v>44</v>
      </c>
      <c r="H330" t="s">
        <v>45</v>
      </c>
      <c r="I330" t="s">
        <v>46</v>
      </c>
      <c r="J330">
        <v>4495</v>
      </c>
      <c r="K330" t="s">
        <v>931</v>
      </c>
      <c r="L330">
        <v>1374784</v>
      </c>
      <c r="N330">
        <v>160628</v>
      </c>
      <c r="P330">
        <v>320</v>
      </c>
      <c r="Q330">
        <v>340</v>
      </c>
      <c r="R330">
        <v>450</v>
      </c>
      <c r="U330" t="s">
        <v>903</v>
      </c>
      <c r="V330" t="s">
        <v>48</v>
      </c>
      <c r="W330" t="s">
        <v>49</v>
      </c>
      <c r="X330" t="s">
        <v>50</v>
      </c>
      <c r="Z330" t="s">
        <v>943</v>
      </c>
      <c r="AA330" s="5"/>
      <c r="AB330" s="5"/>
      <c r="AC330" t="s">
        <v>684</v>
      </c>
      <c r="AD330" t="s">
        <v>948</v>
      </c>
      <c r="AE330" t="s">
        <v>933</v>
      </c>
      <c r="AF330" t="s">
        <v>56</v>
      </c>
      <c r="AG330">
        <v>34</v>
      </c>
      <c r="AH330">
        <v>0.15160000000000001</v>
      </c>
      <c r="AI330">
        <v>-0.60650000000000004</v>
      </c>
      <c r="AJ330">
        <v>30998</v>
      </c>
      <c r="AK330">
        <v>130</v>
      </c>
      <c r="AL330">
        <v>270</v>
      </c>
      <c r="AM330">
        <v>1392</v>
      </c>
      <c r="AP330" s="3">
        <f t="shared" si="3"/>
        <v>45875</v>
      </c>
    </row>
    <row r="331" spans="6:42" hidden="1" x14ac:dyDescent="0.25">
      <c r="F331" s="1">
        <v>44483</v>
      </c>
      <c r="G331" t="s">
        <v>44</v>
      </c>
      <c r="H331" t="s">
        <v>45</v>
      </c>
      <c r="I331" t="s">
        <v>46</v>
      </c>
      <c r="J331">
        <v>4494</v>
      </c>
      <c r="K331" t="s">
        <v>931</v>
      </c>
      <c r="L331">
        <v>1374783</v>
      </c>
      <c r="N331">
        <v>160698</v>
      </c>
      <c r="P331">
        <v>350</v>
      </c>
      <c r="Q331">
        <v>368</v>
      </c>
      <c r="R331">
        <v>620</v>
      </c>
      <c r="U331" t="s">
        <v>903</v>
      </c>
      <c r="V331" t="s">
        <v>48</v>
      </c>
      <c r="W331" t="s">
        <v>49</v>
      </c>
      <c r="X331" t="s">
        <v>50</v>
      </c>
      <c r="Z331" t="s">
        <v>943</v>
      </c>
      <c r="AA331" s="5"/>
      <c r="AB331" s="5"/>
      <c r="AC331" t="s">
        <v>684</v>
      </c>
      <c r="AD331" t="s">
        <v>949</v>
      </c>
      <c r="AE331" t="s">
        <v>933</v>
      </c>
      <c r="AF331" t="s">
        <v>56</v>
      </c>
      <c r="AG331">
        <v>34</v>
      </c>
      <c r="AH331">
        <v>0.15160000000000001</v>
      </c>
      <c r="AI331">
        <v>-0.60650000000000004</v>
      </c>
      <c r="AJ331">
        <v>30998</v>
      </c>
      <c r="AK331">
        <v>130</v>
      </c>
      <c r="AL331">
        <v>270</v>
      </c>
      <c r="AM331">
        <v>1392</v>
      </c>
      <c r="AP331" s="3">
        <f t="shared" si="3"/>
        <v>45875</v>
      </c>
    </row>
    <row r="332" spans="6:42" ht="14.45" customHeight="1" x14ac:dyDescent="0.25">
      <c r="F332" s="1">
        <v>44483</v>
      </c>
      <c r="G332" t="s">
        <v>44</v>
      </c>
      <c r="H332" t="s">
        <v>607</v>
      </c>
      <c r="I332" t="s">
        <v>779</v>
      </c>
      <c r="J332">
        <v>9156</v>
      </c>
      <c r="K332" t="s">
        <v>490</v>
      </c>
      <c r="L332">
        <v>1336071</v>
      </c>
      <c r="N332">
        <v>160648</v>
      </c>
      <c r="P332">
        <v>335</v>
      </c>
      <c r="Q332">
        <v>370</v>
      </c>
      <c r="R332">
        <v>1111</v>
      </c>
      <c r="U332" t="s">
        <v>903</v>
      </c>
      <c r="V332" t="s">
        <v>48</v>
      </c>
      <c r="W332" t="s">
        <v>49</v>
      </c>
      <c r="X332" t="s">
        <v>50</v>
      </c>
      <c r="Z332" t="s">
        <v>943</v>
      </c>
      <c r="AA332" s="5"/>
      <c r="AB332" s="5"/>
      <c r="AC332" t="s">
        <v>684</v>
      </c>
      <c r="AD332" t="s">
        <v>950</v>
      </c>
      <c r="AE332" t="s">
        <v>765</v>
      </c>
      <c r="AF332" t="s">
        <v>56</v>
      </c>
      <c r="AG332">
        <v>34</v>
      </c>
      <c r="AH332">
        <v>0.15040000000000001</v>
      </c>
      <c r="AI332">
        <v>-0.6018</v>
      </c>
      <c r="AJ332">
        <v>28837</v>
      </c>
      <c r="AK332">
        <v>130</v>
      </c>
      <c r="AL332">
        <v>230</v>
      </c>
      <c r="AM332">
        <v>675</v>
      </c>
      <c r="AP332" s="3">
        <f t="shared" si="3"/>
        <v>45158</v>
      </c>
    </row>
    <row r="333" spans="6:42" ht="14.45" customHeight="1" x14ac:dyDescent="0.25">
      <c r="F333" s="1">
        <v>44483</v>
      </c>
      <c r="G333" t="s">
        <v>44</v>
      </c>
      <c r="H333" t="s">
        <v>607</v>
      </c>
      <c r="I333" t="s">
        <v>779</v>
      </c>
      <c r="J333">
        <v>9153</v>
      </c>
      <c r="K333" t="s">
        <v>490</v>
      </c>
      <c r="L333">
        <v>1336068</v>
      </c>
      <c r="N333">
        <v>160685</v>
      </c>
      <c r="P333">
        <v>225</v>
      </c>
      <c r="Q333">
        <v>250</v>
      </c>
      <c r="R333">
        <v>320</v>
      </c>
      <c r="U333" t="s">
        <v>903</v>
      </c>
      <c r="V333" t="s">
        <v>48</v>
      </c>
      <c r="W333" t="s">
        <v>49</v>
      </c>
      <c r="X333" t="s">
        <v>50</v>
      </c>
      <c r="Z333" t="s">
        <v>943</v>
      </c>
      <c r="AA333" s="5"/>
      <c r="AB333" s="5"/>
      <c r="AC333" t="s">
        <v>684</v>
      </c>
      <c r="AD333" t="s">
        <v>951</v>
      </c>
      <c r="AE333" t="s">
        <v>765</v>
      </c>
      <c r="AF333" t="s">
        <v>56</v>
      </c>
      <c r="AG333">
        <v>34</v>
      </c>
      <c r="AH333">
        <v>0.15040000000000001</v>
      </c>
      <c r="AI333">
        <v>-0.6018</v>
      </c>
      <c r="AJ333">
        <v>28837</v>
      </c>
      <c r="AK333">
        <v>130</v>
      </c>
      <c r="AL333">
        <v>230</v>
      </c>
      <c r="AM333">
        <v>675</v>
      </c>
      <c r="AP333" s="3">
        <f t="shared" si="3"/>
        <v>45158</v>
      </c>
    </row>
    <row r="334" spans="6:42" ht="14.45" hidden="1" customHeight="1" x14ac:dyDescent="0.25">
      <c r="F334" s="1">
        <v>44483</v>
      </c>
      <c r="G334" t="s">
        <v>44</v>
      </c>
      <c r="H334" t="s">
        <v>553</v>
      </c>
      <c r="I334" t="s">
        <v>554</v>
      </c>
      <c r="J334">
        <v>13684</v>
      </c>
      <c r="K334" t="s">
        <v>912</v>
      </c>
      <c r="L334">
        <v>1374804</v>
      </c>
      <c r="N334">
        <v>160408</v>
      </c>
      <c r="P334">
        <v>321</v>
      </c>
      <c r="Q334">
        <v>353</v>
      </c>
      <c r="R334">
        <v>960</v>
      </c>
      <c r="U334" t="s">
        <v>861</v>
      </c>
      <c r="V334" t="s">
        <v>48</v>
      </c>
      <c r="W334" t="s">
        <v>49</v>
      </c>
      <c r="X334" t="s">
        <v>50</v>
      </c>
      <c r="Z334" t="s">
        <v>952</v>
      </c>
      <c r="AA334" s="5"/>
      <c r="AB334" s="5"/>
      <c r="AC334" t="s">
        <v>684</v>
      </c>
      <c r="AD334" t="s">
        <v>953</v>
      </c>
      <c r="AE334" t="s">
        <v>914</v>
      </c>
      <c r="AF334" t="s">
        <v>56</v>
      </c>
      <c r="AG334">
        <v>34</v>
      </c>
      <c r="AH334">
        <v>0.15040000000000001</v>
      </c>
      <c r="AI334">
        <v>-0.6018</v>
      </c>
      <c r="AJ334">
        <v>30998</v>
      </c>
      <c r="AK334">
        <v>130</v>
      </c>
      <c r="AL334">
        <v>270</v>
      </c>
      <c r="AM334">
        <v>730</v>
      </c>
      <c r="AN334" t="s">
        <v>954</v>
      </c>
      <c r="AP334" s="3">
        <f t="shared" si="3"/>
        <v>45213</v>
      </c>
    </row>
    <row r="335" spans="6:42" ht="14.45" hidden="1" customHeight="1" x14ac:dyDescent="0.25">
      <c r="F335" s="1">
        <v>44483</v>
      </c>
      <c r="G335" t="s">
        <v>44</v>
      </c>
      <c r="H335" t="s">
        <v>553</v>
      </c>
      <c r="I335" t="s">
        <v>554</v>
      </c>
      <c r="J335">
        <v>13683</v>
      </c>
      <c r="K335" t="s">
        <v>912</v>
      </c>
      <c r="L335">
        <v>1374803</v>
      </c>
      <c r="N335">
        <v>160512</v>
      </c>
      <c r="P335">
        <v>267</v>
      </c>
      <c r="Q335">
        <v>290</v>
      </c>
      <c r="R335">
        <v>450</v>
      </c>
      <c r="U335" t="s">
        <v>861</v>
      </c>
      <c r="V335" t="s">
        <v>48</v>
      </c>
      <c r="W335" t="s">
        <v>49</v>
      </c>
      <c r="X335" t="s">
        <v>50</v>
      </c>
      <c r="Z335" t="s">
        <v>952</v>
      </c>
      <c r="AA335" s="5"/>
      <c r="AB335" s="5"/>
      <c r="AC335" t="s">
        <v>684</v>
      </c>
      <c r="AD335" t="s">
        <v>955</v>
      </c>
      <c r="AE335" t="s">
        <v>914</v>
      </c>
      <c r="AF335" t="s">
        <v>56</v>
      </c>
      <c r="AG335">
        <v>34</v>
      </c>
      <c r="AH335">
        <v>0.15040000000000001</v>
      </c>
      <c r="AI335">
        <v>-0.6018</v>
      </c>
      <c r="AJ335">
        <v>30998</v>
      </c>
      <c r="AK335">
        <v>130</v>
      </c>
      <c r="AL335">
        <v>270</v>
      </c>
      <c r="AM335">
        <v>730</v>
      </c>
      <c r="AN335" t="s">
        <v>934</v>
      </c>
      <c r="AP335" s="3">
        <f t="shared" si="3"/>
        <v>45213</v>
      </c>
    </row>
    <row r="336" spans="6:42" ht="14.45" hidden="1" customHeight="1" x14ac:dyDescent="0.25">
      <c r="F336" s="1">
        <v>44483</v>
      </c>
      <c r="G336" t="s">
        <v>44</v>
      </c>
      <c r="H336" t="s">
        <v>553</v>
      </c>
      <c r="I336" t="s">
        <v>554</v>
      </c>
      <c r="J336">
        <v>13688</v>
      </c>
      <c r="K336" t="s">
        <v>912</v>
      </c>
      <c r="L336">
        <v>1374808</v>
      </c>
      <c r="N336">
        <v>160873</v>
      </c>
      <c r="P336">
        <v>291</v>
      </c>
      <c r="Q336">
        <v>319</v>
      </c>
      <c r="R336">
        <v>610</v>
      </c>
      <c r="U336" t="s">
        <v>861</v>
      </c>
      <c r="V336" t="s">
        <v>48</v>
      </c>
      <c r="W336" t="s">
        <v>49</v>
      </c>
      <c r="X336" t="s">
        <v>50</v>
      </c>
      <c r="Z336" t="s">
        <v>952</v>
      </c>
      <c r="AA336" s="5"/>
      <c r="AB336" s="5"/>
      <c r="AC336" t="s">
        <v>684</v>
      </c>
      <c r="AD336" t="s">
        <v>956</v>
      </c>
      <c r="AE336" t="s">
        <v>914</v>
      </c>
      <c r="AF336" t="s">
        <v>56</v>
      </c>
      <c r="AG336">
        <v>34</v>
      </c>
      <c r="AH336">
        <v>0.15040000000000001</v>
      </c>
      <c r="AI336">
        <v>-0.6018</v>
      </c>
      <c r="AJ336">
        <v>30998</v>
      </c>
      <c r="AK336">
        <v>130</v>
      </c>
      <c r="AL336">
        <v>270</v>
      </c>
      <c r="AM336">
        <v>730</v>
      </c>
      <c r="AP336" s="3">
        <f t="shared" si="3"/>
        <v>45213</v>
      </c>
    </row>
    <row r="337" spans="6:42" ht="14.45" hidden="1" customHeight="1" x14ac:dyDescent="0.25">
      <c r="F337" s="1">
        <v>44483</v>
      </c>
      <c r="G337" t="s">
        <v>44</v>
      </c>
      <c r="H337" t="s">
        <v>553</v>
      </c>
      <c r="I337" t="s">
        <v>554</v>
      </c>
      <c r="J337">
        <v>13695</v>
      </c>
      <c r="K337" t="s">
        <v>912</v>
      </c>
      <c r="L337">
        <v>1374815</v>
      </c>
      <c r="N337">
        <v>160573</v>
      </c>
      <c r="P337">
        <v>320</v>
      </c>
      <c r="Q337">
        <v>355</v>
      </c>
      <c r="R337">
        <v>970</v>
      </c>
      <c r="U337" t="s">
        <v>861</v>
      </c>
      <c r="V337" t="s">
        <v>48</v>
      </c>
      <c r="W337" t="s">
        <v>49</v>
      </c>
      <c r="X337" t="s">
        <v>50</v>
      </c>
      <c r="Z337" t="s">
        <v>952</v>
      </c>
      <c r="AA337" s="5"/>
      <c r="AB337" s="5"/>
      <c r="AC337" t="s">
        <v>684</v>
      </c>
      <c r="AD337" t="s">
        <v>957</v>
      </c>
      <c r="AE337" t="s">
        <v>914</v>
      </c>
      <c r="AF337" t="s">
        <v>56</v>
      </c>
      <c r="AG337">
        <v>34</v>
      </c>
      <c r="AH337">
        <v>0.15040000000000001</v>
      </c>
      <c r="AI337">
        <v>-0.6018</v>
      </c>
      <c r="AJ337">
        <v>30998</v>
      </c>
      <c r="AK337">
        <v>130</v>
      </c>
      <c r="AL337">
        <v>270</v>
      </c>
      <c r="AM337">
        <v>730</v>
      </c>
      <c r="AP337" s="3">
        <f t="shared" si="3"/>
        <v>45213</v>
      </c>
    </row>
    <row r="338" spans="6:42" ht="14.45" hidden="1" customHeight="1" x14ac:dyDescent="0.25">
      <c r="F338" s="1">
        <v>44483</v>
      </c>
      <c r="G338" t="s">
        <v>44</v>
      </c>
      <c r="H338" t="s">
        <v>134</v>
      </c>
      <c r="I338" t="s">
        <v>135</v>
      </c>
      <c r="J338">
        <v>4491</v>
      </c>
      <c r="K338" t="s">
        <v>931</v>
      </c>
      <c r="L338">
        <v>1374780</v>
      </c>
      <c r="N338">
        <v>160635</v>
      </c>
      <c r="P338">
        <v>556</v>
      </c>
      <c r="Q338">
        <v>556</v>
      </c>
      <c r="R338">
        <v>2060</v>
      </c>
      <c r="U338" t="s">
        <v>861</v>
      </c>
      <c r="V338" t="s">
        <v>48</v>
      </c>
      <c r="W338" t="s">
        <v>49</v>
      </c>
      <c r="X338" t="s">
        <v>50</v>
      </c>
      <c r="Z338" t="s">
        <v>952</v>
      </c>
      <c r="AA338" s="5"/>
      <c r="AB338" s="5"/>
      <c r="AC338" t="s">
        <v>684</v>
      </c>
      <c r="AD338" t="s">
        <v>958</v>
      </c>
      <c r="AE338" t="s">
        <v>933</v>
      </c>
      <c r="AF338" t="s">
        <v>56</v>
      </c>
      <c r="AG338">
        <v>34</v>
      </c>
      <c r="AH338">
        <v>0.15160000000000001</v>
      </c>
      <c r="AI338">
        <v>-0.60650000000000004</v>
      </c>
      <c r="AJ338">
        <v>30998</v>
      </c>
      <c r="AK338">
        <v>130</v>
      </c>
      <c r="AL338">
        <v>270</v>
      </c>
      <c r="AM338">
        <v>1392</v>
      </c>
      <c r="AP338" s="3">
        <f t="shared" si="3"/>
        <v>45875</v>
      </c>
    </row>
    <row r="339" spans="6:42" ht="14.45" customHeight="1" x14ac:dyDescent="0.25">
      <c r="F339" s="1">
        <v>44483</v>
      </c>
      <c r="G339" t="s">
        <v>44</v>
      </c>
      <c r="H339" t="s">
        <v>607</v>
      </c>
      <c r="I339" t="s">
        <v>779</v>
      </c>
      <c r="J339">
        <v>9151</v>
      </c>
      <c r="K339" t="s">
        <v>490</v>
      </c>
      <c r="L339">
        <v>1336066</v>
      </c>
      <c r="N339">
        <v>160530</v>
      </c>
      <c r="P339">
        <v>225</v>
      </c>
      <c r="Q339">
        <v>247</v>
      </c>
      <c r="R339">
        <v>320</v>
      </c>
      <c r="U339" t="s">
        <v>861</v>
      </c>
      <c r="V339" t="s">
        <v>48</v>
      </c>
      <c r="W339" t="s">
        <v>49</v>
      </c>
      <c r="X339" t="s">
        <v>50</v>
      </c>
      <c r="Z339" t="s">
        <v>952</v>
      </c>
      <c r="AA339" s="5"/>
      <c r="AB339" s="5"/>
      <c r="AC339" t="s">
        <v>684</v>
      </c>
      <c r="AD339" t="s">
        <v>959</v>
      </c>
      <c r="AE339" t="s">
        <v>765</v>
      </c>
      <c r="AF339" t="s">
        <v>56</v>
      </c>
      <c r="AG339">
        <v>34</v>
      </c>
      <c r="AH339">
        <v>0.15040000000000001</v>
      </c>
      <c r="AI339">
        <v>-0.6018</v>
      </c>
      <c r="AJ339">
        <v>28837</v>
      </c>
      <c r="AK339">
        <v>130</v>
      </c>
      <c r="AL339">
        <v>230</v>
      </c>
      <c r="AM339">
        <v>675</v>
      </c>
      <c r="AP339" s="3">
        <f t="shared" si="3"/>
        <v>45158</v>
      </c>
    </row>
    <row r="340" spans="6:42" ht="14.45" customHeight="1" x14ac:dyDescent="0.25">
      <c r="F340" s="1">
        <v>44483</v>
      </c>
      <c r="G340" t="s">
        <v>44</v>
      </c>
      <c r="H340" t="s">
        <v>607</v>
      </c>
      <c r="I340" t="s">
        <v>779</v>
      </c>
      <c r="J340">
        <v>9152</v>
      </c>
      <c r="K340" t="s">
        <v>490</v>
      </c>
      <c r="L340">
        <v>1336067</v>
      </c>
      <c r="N340">
        <v>160458</v>
      </c>
      <c r="P340">
        <v>219</v>
      </c>
      <c r="Q340">
        <v>242</v>
      </c>
      <c r="R340">
        <v>300</v>
      </c>
      <c r="U340" t="s">
        <v>861</v>
      </c>
      <c r="V340" t="s">
        <v>48</v>
      </c>
      <c r="W340" t="s">
        <v>49</v>
      </c>
      <c r="X340" t="s">
        <v>50</v>
      </c>
      <c r="Z340" t="s">
        <v>952</v>
      </c>
      <c r="AA340" s="5"/>
      <c r="AB340" s="5"/>
      <c r="AC340" t="s">
        <v>684</v>
      </c>
      <c r="AD340" t="s">
        <v>960</v>
      </c>
      <c r="AE340" t="s">
        <v>765</v>
      </c>
      <c r="AF340" t="s">
        <v>56</v>
      </c>
      <c r="AG340">
        <v>34</v>
      </c>
      <c r="AH340">
        <v>0.15040000000000001</v>
      </c>
      <c r="AI340">
        <v>-0.6018</v>
      </c>
      <c r="AJ340">
        <v>28837</v>
      </c>
      <c r="AK340">
        <v>130</v>
      </c>
      <c r="AL340">
        <v>230</v>
      </c>
      <c r="AM340">
        <v>675</v>
      </c>
      <c r="AP340" s="3">
        <f t="shared" si="3"/>
        <v>45158</v>
      </c>
    </row>
    <row r="341" spans="6:42" ht="14.45" hidden="1" customHeight="1" x14ac:dyDescent="0.25">
      <c r="F341" s="1">
        <v>44483</v>
      </c>
      <c r="G341" t="s">
        <v>44</v>
      </c>
      <c r="H341" t="s">
        <v>553</v>
      </c>
      <c r="I341" t="s">
        <v>554</v>
      </c>
      <c r="J341">
        <v>13689</v>
      </c>
      <c r="K341" t="s">
        <v>912</v>
      </c>
      <c r="L341">
        <v>1374809</v>
      </c>
      <c r="N341">
        <v>160822</v>
      </c>
      <c r="P341">
        <v>350</v>
      </c>
      <c r="Q341">
        <v>382</v>
      </c>
      <c r="R341">
        <v>1720</v>
      </c>
      <c r="U341" t="s">
        <v>861</v>
      </c>
      <c r="V341" t="s">
        <v>48</v>
      </c>
      <c r="W341" t="s">
        <v>49</v>
      </c>
      <c r="X341" t="s">
        <v>50</v>
      </c>
      <c r="Z341" t="s">
        <v>800</v>
      </c>
      <c r="AA341" s="5"/>
      <c r="AB341" s="5"/>
      <c r="AC341" t="s">
        <v>684</v>
      </c>
      <c r="AD341" t="s">
        <v>961</v>
      </c>
      <c r="AE341" t="s">
        <v>914</v>
      </c>
      <c r="AF341" t="s">
        <v>56</v>
      </c>
      <c r="AG341">
        <v>34</v>
      </c>
      <c r="AH341">
        <v>0.15040000000000001</v>
      </c>
      <c r="AI341">
        <v>-0.6018</v>
      </c>
      <c r="AJ341">
        <v>30998</v>
      </c>
      <c r="AK341">
        <v>130</v>
      </c>
      <c r="AL341">
        <v>270</v>
      </c>
      <c r="AM341">
        <v>730</v>
      </c>
      <c r="AN341" t="s">
        <v>962</v>
      </c>
      <c r="AP341" s="3">
        <f t="shared" si="3"/>
        <v>45213</v>
      </c>
    </row>
    <row r="342" spans="6:42" ht="14.45" hidden="1" customHeight="1" x14ac:dyDescent="0.25">
      <c r="F342" s="1">
        <v>44488</v>
      </c>
      <c r="G342" t="s">
        <v>44</v>
      </c>
      <c r="H342" t="s">
        <v>553</v>
      </c>
      <c r="I342" t="s">
        <v>554</v>
      </c>
      <c r="J342">
        <v>13690</v>
      </c>
      <c r="K342" t="s">
        <v>912</v>
      </c>
      <c r="L342">
        <v>1374810</v>
      </c>
      <c r="N342" t="s">
        <v>963</v>
      </c>
      <c r="P342">
        <v>285</v>
      </c>
      <c r="R342">
        <v>698</v>
      </c>
      <c r="U342" t="s">
        <v>903</v>
      </c>
      <c r="V342" t="s">
        <v>48</v>
      </c>
      <c r="W342" t="s">
        <v>49</v>
      </c>
      <c r="X342" t="s">
        <v>50</v>
      </c>
      <c r="Z342" t="s">
        <v>726</v>
      </c>
      <c r="AA342">
        <v>43.271667579999999</v>
      </c>
      <c r="AB342">
        <v>-79.876683439999994</v>
      </c>
      <c r="AC342" t="s">
        <v>684</v>
      </c>
      <c r="AD342" t="s">
        <v>964</v>
      </c>
      <c r="AE342" t="s">
        <v>914</v>
      </c>
      <c r="AF342" t="s">
        <v>56</v>
      </c>
      <c r="AG342">
        <v>34</v>
      </c>
      <c r="AH342">
        <v>0.15040000000000001</v>
      </c>
      <c r="AI342">
        <v>-0.6018</v>
      </c>
      <c r="AJ342">
        <v>30998</v>
      </c>
      <c r="AK342">
        <v>130</v>
      </c>
      <c r="AL342">
        <v>270</v>
      </c>
      <c r="AM342">
        <v>730</v>
      </c>
      <c r="AN342" t="s">
        <v>965</v>
      </c>
      <c r="AP342" s="3">
        <f t="shared" si="3"/>
        <v>45218</v>
      </c>
    </row>
    <row r="343" spans="6:42" ht="14.45" hidden="1" customHeight="1" x14ac:dyDescent="0.25">
      <c r="F343" s="1">
        <v>44488</v>
      </c>
      <c r="G343" t="s">
        <v>44</v>
      </c>
      <c r="H343" t="s">
        <v>134</v>
      </c>
      <c r="I343" t="s">
        <v>135</v>
      </c>
      <c r="J343">
        <v>4493</v>
      </c>
      <c r="K343" t="s">
        <v>931</v>
      </c>
      <c r="L343">
        <v>1374782</v>
      </c>
      <c r="N343">
        <v>160456</v>
      </c>
      <c r="P343">
        <v>668</v>
      </c>
      <c r="Q343">
        <v>668</v>
      </c>
      <c r="R343">
        <v>3660</v>
      </c>
      <c r="U343" t="s">
        <v>903</v>
      </c>
      <c r="V343" t="s">
        <v>48</v>
      </c>
      <c r="W343" t="s">
        <v>49</v>
      </c>
      <c r="X343" t="s">
        <v>50</v>
      </c>
      <c r="Z343" t="s">
        <v>706</v>
      </c>
      <c r="AA343">
        <v>43.271906209999997</v>
      </c>
      <c r="AB343">
        <v>-79.869970870000003</v>
      </c>
      <c r="AC343" t="s">
        <v>684</v>
      </c>
      <c r="AD343" t="s">
        <v>966</v>
      </c>
      <c r="AE343" t="s">
        <v>933</v>
      </c>
      <c r="AF343" t="s">
        <v>56</v>
      </c>
      <c r="AG343">
        <v>34</v>
      </c>
      <c r="AH343">
        <v>0.15160000000000001</v>
      </c>
      <c r="AI343">
        <v>-0.60650000000000004</v>
      </c>
      <c r="AJ343">
        <v>30998</v>
      </c>
      <c r="AK343">
        <v>130</v>
      </c>
      <c r="AL343">
        <v>270</v>
      </c>
      <c r="AM343">
        <v>1392</v>
      </c>
      <c r="AN343" t="s">
        <v>967</v>
      </c>
      <c r="AP343" s="3">
        <f t="shared" si="3"/>
        <v>45880</v>
      </c>
    </row>
    <row r="344" spans="6:42" ht="14.45" hidden="1" customHeight="1" x14ac:dyDescent="0.25">
      <c r="F344" s="1">
        <v>44488</v>
      </c>
      <c r="G344" t="s">
        <v>44</v>
      </c>
      <c r="H344" t="s">
        <v>553</v>
      </c>
      <c r="I344" t="s">
        <v>554</v>
      </c>
      <c r="J344">
        <v>13691</v>
      </c>
      <c r="K344" t="s">
        <v>912</v>
      </c>
      <c r="L344">
        <v>1374811</v>
      </c>
      <c r="N344">
        <v>160447</v>
      </c>
      <c r="P344">
        <v>251</v>
      </c>
      <c r="Q344">
        <v>273</v>
      </c>
      <c r="R344">
        <v>410</v>
      </c>
      <c r="U344" t="s">
        <v>903</v>
      </c>
      <c r="V344" t="s">
        <v>48</v>
      </c>
      <c r="W344" t="s">
        <v>49</v>
      </c>
      <c r="X344" t="s">
        <v>50</v>
      </c>
      <c r="Z344" t="s">
        <v>706</v>
      </c>
      <c r="AA344">
        <v>43.271906209999997</v>
      </c>
      <c r="AB344">
        <v>-79.869970870000003</v>
      </c>
      <c r="AC344" t="s">
        <v>684</v>
      </c>
      <c r="AD344" t="s">
        <v>968</v>
      </c>
      <c r="AE344" t="s">
        <v>914</v>
      </c>
      <c r="AF344" t="s">
        <v>56</v>
      </c>
      <c r="AG344">
        <v>34</v>
      </c>
      <c r="AH344">
        <v>0.15040000000000001</v>
      </c>
      <c r="AI344">
        <v>-0.6018</v>
      </c>
      <c r="AJ344">
        <v>30998</v>
      </c>
      <c r="AK344">
        <v>130</v>
      </c>
      <c r="AL344">
        <v>270</v>
      </c>
      <c r="AM344">
        <v>730</v>
      </c>
      <c r="AP344" s="3">
        <f t="shared" si="3"/>
        <v>45218</v>
      </c>
    </row>
    <row r="345" spans="6:42" ht="14.45" hidden="1" customHeight="1" x14ac:dyDescent="0.25">
      <c r="F345" s="1">
        <v>44488</v>
      </c>
      <c r="G345" t="s">
        <v>44</v>
      </c>
      <c r="H345" t="s">
        <v>553</v>
      </c>
      <c r="I345" t="s">
        <v>554</v>
      </c>
      <c r="J345">
        <v>13692</v>
      </c>
      <c r="K345" t="s">
        <v>912</v>
      </c>
      <c r="L345">
        <v>1374812</v>
      </c>
      <c r="N345">
        <v>160859</v>
      </c>
      <c r="P345">
        <v>344</v>
      </c>
      <c r="Q345">
        <v>391</v>
      </c>
      <c r="R345">
        <v>1680</v>
      </c>
      <c r="U345" t="s">
        <v>903</v>
      </c>
      <c r="V345" t="s">
        <v>48</v>
      </c>
      <c r="W345" t="s">
        <v>49</v>
      </c>
      <c r="X345" t="s">
        <v>50</v>
      </c>
      <c r="Z345" t="s">
        <v>706</v>
      </c>
      <c r="AA345">
        <v>43.271906209999997</v>
      </c>
      <c r="AB345">
        <v>-79.869970870000003</v>
      </c>
      <c r="AC345" t="s">
        <v>684</v>
      </c>
      <c r="AD345" t="s">
        <v>969</v>
      </c>
      <c r="AE345" t="s">
        <v>914</v>
      </c>
      <c r="AF345" t="s">
        <v>56</v>
      </c>
      <c r="AG345">
        <v>34</v>
      </c>
      <c r="AH345">
        <v>0.15040000000000001</v>
      </c>
      <c r="AI345">
        <v>-0.6018</v>
      </c>
      <c r="AJ345">
        <v>30998</v>
      </c>
      <c r="AK345">
        <v>130</v>
      </c>
      <c r="AL345">
        <v>270</v>
      </c>
      <c r="AM345">
        <v>730</v>
      </c>
      <c r="AP345" s="3">
        <f t="shared" si="3"/>
        <v>45218</v>
      </c>
    </row>
    <row r="346" spans="6:42" ht="14.45" hidden="1" customHeight="1" x14ac:dyDescent="0.25">
      <c r="F346" s="1">
        <v>44488</v>
      </c>
      <c r="G346" t="s">
        <v>44</v>
      </c>
      <c r="H346" t="s">
        <v>124</v>
      </c>
      <c r="I346" t="s">
        <v>125</v>
      </c>
      <c r="J346">
        <v>4498</v>
      </c>
      <c r="K346" t="s">
        <v>931</v>
      </c>
      <c r="L346">
        <v>1374787</v>
      </c>
      <c r="N346" t="s">
        <v>970</v>
      </c>
      <c r="P346">
        <v>808</v>
      </c>
      <c r="Q346">
        <v>855</v>
      </c>
      <c r="R346">
        <v>2840</v>
      </c>
      <c r="U346" t="s">
        <v>903</v>
      </c>
      <c r="V346" t="s">
        <v>48</v>
      </c>
      <c r="W346" t="s">
        <v>49</v>
      </c>
      <c r="X346" t="s">
        <v>50</v>
      </c>
      <c r="Z346" t="s">
        <v>601</v>
      </c>
      <c r="AA346" s="5"/>
      <c r="AB346" s="5"/>
      <c r="AC346" t="s">
        <v>684</v>
      </c>
      <c r="AD346" t="s">
        <v>971</v>
      </c>
      <c r="AE346" t="s">
        <v>933</v>
      </c>
      <c r="AF346" t="s">
        <v>56</v>
      </c>
      <c r="AG346">
        <v>34</v>
      </c>
      <c r="AH346">
        <v>0.15160000000000001</v>
      </c>
      <c r="AI346">
        <v>-0.60650000000000004</v>
      </c>
      <c r="AJ346">
        <v>30998</v>
      </c>
      <c r="AK346">
        <v>130</v>
      </c>
      <c r="AL346">
        <v>270</v>
      </c>
      <c r="AM346">
        <v>1392</v>
      </c>
      <c r="AN346" t="s">
        <v>972</v>
      </c>
      <c r="AP346" s="3">
        <f t="shared" si="3"/>
        <v>45880</v>
      </c>
    </row>
    <row r="347" spans="6:42" ht="14.45" hidden="1" customHeight="1" x14ac:dyDescent="0.25">
      <c r="F347" s="1">
        <v>44488</v>
      </c>
      <c r="G347" t="s">
        <v>44</v>
      </c>
      <c r="H347" t="s">
        <v>553</v>
      </c>
      <c r="I347" t="s">
        <v>554</v>
      </c>
      <c r="J347">
        <v>13693</v>
      </c>
      <c r="K347" t="s">
        <v>912</v>
      </c>
      <c r="L347">
        <v>1374813</v>
      </c>
      <c r="N347">
        <v>160805</v>
      </c>
      <c r="P347">
        <v>305</v>
      </c>
      <c r="Q347">
        <v>312</v>
      </c>
      <c r="R347">
        <v>990</v>
      </c>
      <c r="U347" t="s">
        <v>903</v>
      </c>
      <c r="V347" t="s">
        <v>48</v>
      </c>
      <c r="W347" t="s">
        <v>49</v>
      </c>
      <c r="X347" t="s">
        <v>50</v>
      </c>
      <c r="Z347" t="s">
        <v>736</v>
      </c>
      <c r="AA347" s="5"/>
      <c r="AB347" s="5"/>
      <c r="AC347" t="s">
        <v>684</v>
      </c>
      <c r="AD347" t="s">
        <v>973</v>
      </c>
      <c r="AE347" t="s">
        <v>914</v>
      </c>
      <c r="AF347" t="s">
        <v>56</v>
      </c>
      <c r="AG347">
        <v>34</v>
      </c>
      <c r="AH347">
        <v>0.15040000000000001</v>
      </c>
      <c r="AI347">
        <v>-0.6018</v>
      </c>
      <c r="AJ347">
        <v>30998</v>
      </c>
      <c r="AK347">
        <v>130</v>
      </c>
      <c r="AL347">
        <v>270</v>
      </c>
      <c r="AM347">
        <v>730</v>
      </c>
      <c r="AP347" s="3">
        <f t="shared" ref="AP347:AP358" si="4">F347+AM347</f>
        <v>45218</v>
      </c>
    </row>
    <row r="348" spans="6:42" ht="14.45" hidden="1" customHeight="1" x14ac:dyDescent="0.25">
      <c r="F348" s="1">
        <v>44488</v>
      </c>
      <c r="G348" t="s">
        <v>44</v>
      </c>
      <c r="H348" t="s">
        <v>553</v>
      </c>
      <c r="I348" t="s">
        <v>554</v>
      </c>
      <c r="J348">
        <v>13694</v>
      </c>
      <c r="K348" t="s">
        <v>912</v>
      </c>
      <c r="L348">
        <v>1374814</v>
      </c>
      <c r="N348">
        <v>160485</v>
      </c>
      <c r="P348">
        <v>384</v>
      </c>
      <c r="Q348">
        <v>400</v>
      </c>
      <c r="R348">
        <v>1450</v>
      </c>
      <c r="U348" t="s">
        <v>903</v>
      </c>
      <c r="V348" t="s">
        <v>48</v>
      </c>
      <c r="W348" t="s">
        <v>49</v>
      </c>
      <c r="X348" t="s">
        <v>50</v>
      </c>
      <c r="Z348" t="s">
        <v>745</v>
      </c>
      <c r="AA348" s="5"/>
      <c r="AB348" s="5"/>
      <c r="AC348" t="s">
        <v>684</v>
      </c>
      <c r="AD348" t="s">
        <v>974</v>
      </c>
      <c r="AE348" t="s">
        <v>914</v>
      </c>
      <c r="AF348" t="s">
        <v>56</v>
      </c>
      <c r="AG348">
        <v>34</v>
      </c>
      <c r="AH348">
        <v>0.15040000000000001</v>
      </c>
      <c r="AI348">
        <v>-0.6018</v>
      </c>
      <c r="AJ348">
        <v>30998</v>
      </c>
      <c r="AK348">
        <v>130</v>
      </c>
      <c r="AL348">
        <v>270</v>
      </c>
      <c r="AM348">
        <v>730</v>
      </c>
      <c r="AN348" t="s">
        <v>954</v>
      </c>
      <c r="AP348" s="3">
        <f t="shared" si="4"/>
        <v>45218</v>
      </c>
    </row>
    <row r="349" spans="6:42" hidden="1" x14ac:dyDescent="0.25">
      <c r="F349" s="1">
        <v>44489.854166666664</v>
      </c>
      <c r="G349" t="s">
        <v>44</v>
      </c>
      <c r="H349" t="s">
        <v>45</v>
      </c>
      <c r="I349" t="s">
        <v>46</v>
      </c>
      <c r="J349">
        <v>4499</v>
      </c>
      <c r="K349" t="s">
        <v>931</v>
      </c>
      <c r="L349">
        <v>1374788</v>
      </c>
      <c r="N349">
        <v>160791</v>
      </c>
      <c r="P349">
        <v>658</v>
      </c>
      <c r="Q349">
        <v>701</v>
      </c>
      <c r="R349">
        <v>3880</v>
      </c>
      <c r="U349" t="s">
        <v>903</v>
      </c>
      <c r="V349" t="s">
        <v>48</v>
      </c>
      <c r="W349" t="s">
        <v>49</v>
      </c>
      <c r="X349" t="s">
        <v>50</v>
      </c>
      <c r="Z349" t="s">
        <v>975</v>
      </c>
      <c r="AA349" s="5"/>
      <c r="AB349" s="5"/>
      <c r="AC349" t="s">
        <v>684</v>
      </c>
      <c r="AD349" t="s">
        <v>976</v>
      </c>
      <c r="AE349" t="s">
        <v>933</v>
      </c>
      <c r="AF349" t="s">
        <v>56</v>
      </c>
      <c r="AG349">
        <v>34</v>
      </c>
      <c r="AH349">
        <v>0.15160000000000001</v>
      </c>
      <c r="AI349">
        <v>-0.60650000000000004</v>
      </c>
      <c r="AJ349">
        <v>30998</v>
      </c>
      <c r="AK349">
        <v>130</v>
      </c>
      <c r="AL349">
        <v>270</v>
      </c>
      <c r="AM349">
        <v>1392</v>
      </c>
      <c r="AP349" s="3">
        <f t="shared" si="4"/>
        <v>45881.854166666664</v>
      </c>
    </row>
    <row r="350" spans="6:42" ht="14.45" customHeight="1" x14ac:dyDescent="0.25">
      <c r="F350" s="1">
        <v>44489.875</v>
      </c>
      <c r="G350" t="s">
        <v>44</v>
      </c>
      <c r="H350" t="s">
        <v>607</v>
      </c>
      <c r="I350" t="s">
        <v>779</v>
      </c>
      <c r="J350">
        <v>9158</v>
      </c>
      <c r="K350" t="s">
        <v>490</v>
      </c>
      <c r="L350">
        <v>1336073</v>
      </c>
      <c r="N350">
        <v>160647</v>
      </c>
      <c r="P350">
        <v>230</v>
      </c>
      <c r="Q350">
        <v>260</v>
      </c>
      <c r="R350">
        <v>263</v>
      </c>
      <c r="U350" t="s">
        <v>903</v>
      </c>
      <c r="V350" t="s">
        <v>48</v>
      </c>
      <c r="W350" t="s">
        <v>49</v>
      </c>
      <c r="X350" t="s">
        <v>50</v>
      </c>
      <c r="Z350" t="s">
        <v>977</v>
      </c>
      <c r="AA350" s="5"/>
      <c r="AB350" s="5"/>
      <c r="AC350" t="s">
        <v>684</v>
      </c>
      <c r="AD350" t="s">
        <v>978</v>
      </c>
      <c r="AE350" t="s">
        <v>765</v>
      </c>
      <c r="AF350" t="s">
        <v>56</v>
      </c>
      <c r="AG350">
        <v>34</v>
      </c>
      <c r="AH350">
        <v>0.15040000000000001</v>
      </c>
      <c r="AI350">
        <v>-0.6018</v>
      </c>
      <c r="AJ350">
        <v>28837</v>
      </c>
      <c r="AK350">
        <v>130</v>
      </c>
      <c r="AL350">
        <v>230</v>
      </c>
      <c r="AM350">
        <v>675</v>
      </c>
      <c r="AP350" s="3">
        <f t="shared" si="4"/>
        <v>45164.875</v>
      </c>
    </row>
    <row r="351" spans="6:42" ht="14.45" customHeight="1" x14ac:dyDescent="0.25">
      <c r="F351" s="1">
        <v>44489.875</v>
      </c>
      <c r="G351" t="s">
        <v>44</v>
      </c>
      <c r="H351" t="s">
        <v>607</v>
      </c>
      <c r="I351" t="s">
        <v>779</v>
      </c>
      <c r="J351">
        <v>9159</v>
      </c>
      <c r="K351" t="s">
        <v>490</v>
      </c>
      <c r="L351">
        <v>1336074</v>
      </c>
      <c r="N351">
        <v>160556</v>
      </c>
      <c r="P351">
        <v>255</v>
      </c>
      <c r="Q351">
        <v>283</v>
      </c>
      <c r="R351">
        <v>405</v>
      </c>
      <c r="U351" t="s">
        <v>903</v>
      </c>
      <c r="V351" t="s">
        <v>48</v>
      </c>
      <c r="W351" t="s">
        <v>49</v>
      </c>
      <c r="X351" t="s">
        <v>50</v>
      </c>
      <c r="Z351" t="s">
        <v>977</v>
      </c>
      <c r="AA351" s="5"/>
      <c r="AB351" s="5"/>
      <c r="AC351" t="s">
        <v>684</v>
      </c>
      <c r="AD351" t="s">
        <v>979</v>
      </c>
      <c r="AE351" t="s">
        <v>765</v>
      </c>
      <c r="AF351" t="s">
        <v>56</v>
      </c>
      <c r="AG351">
        <v>34</v>
      </c>
      <c r="AH351">
        <v>0.15040000000000001</v>
      </c>
      <c r="AI351">
        <v>-0.6018</v>
      </c>
      <c r="AJ351">
        <v>28837</v>
      </c>
      <c r="AK351">
        <v>130</v>
      </c>
      <c r="AL351">
        <v>230</v>
      </c>
      <c r="AM351">
        <v>675</v>
      </c>
      <c r="AP351" s="3">
        <f t="shared" si="4"/>
        <v>45164.875</v>
      </c>
    </row>
    <row r="352" spans="6:42" ht="14.45" customHeight="1" x14ac:dyDescent="0.25">
      <c r="F352" s="1">
        <v>44489.895833333336</v>
      </c>
      <c r="G352" t="s">
        <v>44</v>
      </c>
      <c r="H352" t="s">
        <v>607</v>
      </c>
      <c r="I352" t="s">
        <v>779</v>
      </c>
      <c r="J352">
        <v>9160</v>
      </c>
      <c r="K352" t="s">
        <v>490</v>
      </c>
      <c r="L352">
        <v>1336075</v>
      </c>
      <c r="N352">
        <v>160857</v>
      </c>
      <c r="P352">
        <v>320</v>
      </c>
      <c r="Q352">
        <v>351</v>
      </c>
      <c r="R352">
        <v>825</v>
      </c>
      <c r="U352" t="s">
        <v>903</v>
      </c>
      <c r="V352" t="s">
        <v>48</v>
      </c>
      <c r="W352" t="s">
        <v>49</v>
      </c>
      <c r="X352" t="s">
        <v>50</v>
      </c>
      <c r="Z352" t="s">
        <v>980</v>
      </c>
      <c r="AA352">
        <v>43.300870959999997</v>
      </c>
      <c r="AB352">
        <v>-79.803702790000003</v>
      </c>
      <c r="AC352" t="s">
        <v>684</v>
      </c>
      <c r="AD352" t="s">
        <v>981</v>
      </c>
      <c r="AE352" t="s">
        <v>765</v>
      </c>
      <c r="AF352" t="s">
        <v>56</v>
      </c>
      <c r="AG352">
        <v>34</v>
      </c>
      <c r="AH352">
        <v>0.15040000000000001</v>
      </c>
      <c r="AI352">
        <v>-0.6018</v>
      </c>
      <c r="AJ352">
        <v>28837</v>
      </c>
      <c r="AK352">
        <v>130</v>
      </c>
      <c r="AL352">
        <v>230</v>
      </c>
      <c r="AM352">
        <v>675</v>
      </c>
      <c r="AP352" s="3">
        <f t="shared" si="4"/>
        <v>45164.895833333336</v>
      </c>
    </row>
    <row r="353" spans="6:42" ht="14.45" customHeight="1" x14ac:dyDescent="0.25">
      <c r="F353" s="1">
        <v>44489.895833333336</v>
      </c>
      <c r="G353" t="s">
        <v>44</v>
      </c>
      <c r="H353" t="s">
        <v>607</v>
      </c>
      <c r="I353" t="s">
        <v>779</v>
      </c>
      <c r="J353">
        <v>25081</v>
      </c>
      <c r="K353" t="s">
        <v>367</v>
      </c>
      <c r="L353">
        <v>1185702</v>
      </c>
      <c r="N353">
        <v>160771</v>
      </c>
      <c r="P353">
        <v>300</v>
      </c>
      <c r="Q353">
        <v>332</v>
      </c>
      <c r="R353">
        <v>701</v>
      </c>
      <c r="U353" t="s">
        <v>903</v>
      </c>
      <c r="V353" t="s">
        <v>48</v>
      </c>
      <c r="W353" t="s">
        <v>49</v>
      </c>
      <c r="X353" t="s">
        <v>50</v>
      </c>
      <c r="Z353" t="s">
        <v>980</v>
      </c>
      <c r="AA353">
        <v>43.300870959999997</v>
      </c>
      <c r="AB353">
        <v>-79.803702790000003</v>
      </c>
      <c r="AC353" t="s">
        <v>684</v>
      </c>
      <c r="AD353" t="s">
        <v>982</v>
      </c>
      <c r="AE353" t="s">
        <v>740</v>
      </c>
      <c r="AJ353">
        <v>16896</v>
      </c>
      <c r="AK353">
        <v>60</v>
      </c>
      <c r="AL353">
        <v>180</v>
      </c>
      <c r="AM353">
        <v>802</v>
      </c>
      <c r="AP353" s="3">
        <f t="shared" si="4"/>
        <v>45291.895833333336</v>
      </c>
    </row>
    <row r="354" spans="6:42" hidden="1" x14ac:dyDescent="0.25">
      <c r="F354" s="1">
        <v>44490.027777777781</v>
      </c>
      <c r="G354" t="s">
        <v>44</v>
      </c>
      <c r="H354" t="s">
        <v>45</v>
      </c>
      <c r="I354" t="s">
        <v>46</v>
      </c>
      <c r="J354">
        <v>4500</v>
      </c>
      <c r="K354" t="s">
        <v>931</v>
      </c>
      <c r="L354">
        <v>1374789</v>
      </c>
      <c r="N354">
        <v>160634</v>
      </c>
      <c r="P354">
        <v>365</v>
      </c>
      <c r="Q354">
        <v>384</v>
      </c>
      <c r="R354">
        <v>562</v>
      </c>
      <c r="U354" t="s">
        <v>903</v>
      </c>
      <c r="V354" t="s">
        <v>48</v>
      </c>
      <c r="W354" t="s">
        <v>49</v>
      </c>
      <c r="X354" t="s">
        <v>50</v>
      </c>
      <c r="Z354" t="s">
        <v>983</v>
      </c>
      <c r="AA354" s="5"/>
      <c r="AB354" s="5"/>
      <c r="AC354" t="s">
        <v>684</v>
      </c>
      <c r="AD354" t="s">
        <v>984</v>
      </c>
      <c r="AE354" t="s">
        <v>933</v>
      </c>
      <c r="AF354" t="s">
        <v>56</v>
      </c>
      <c r="AG354">
        <v>34</v>
      </c>
      <c r="AH354">
        <v>0.15160000000000001</v>
      </c>
      <c r="AI354">
        <v>-0.60650000000000004</v>
      </c>
      <c r="AJ354">
        <v>30998</v>
      </c>
      <c r="AK354">
        <v>130</v>
      </c>
      <c r="AL354">
        <v>270</v>
      </c>
      <c r="AM354">
        <v>1392</v>
      </c>
      <c r="AP354" s="3">
        <f t="shared" si="4"/>
        <v>45882.027777777781</v>
      </c>
    </row>
    <row r="355" spans="6:42" hidden="1" x14ac:dyDescent="0.25">
      <c r="F355" s="1">
        <v>44490.027777777781</v>
      </c>
      <c r="G355" t="s">
        <v>44</v>
      </c>
      <c r="H355" t="s">
        <v>45</v>
      </c>
      <c r="I355" t="s">
        <v>46</v>
      </c>
      <c r="J355">
        <v>4501</v>
      </c>
      <c r="K355" t="s">
        <v>931</v>
      </c>
      <c r="L355">
        <v>1374790</v>
      </c>
      <c r="N355">
        <v>160450</v>
      </c>
      <c r="P355">
        <v>336</v>
      </c>
      <c r="Q355">
        <v>358</v>
      </c>
      <c r="R355">
        <v>389</v>
      </c>
      <c r="U355" t="s">
        <v>903</v>
      </c>
      <c r="V355" t="s">
        <v>48</v>
      </c>
      <c r="W355" t="s">
        <v>49</v>
      </c>
      <c r="X355" t="s">
        <v>50</v>
      </c>
      <c r="Z355" t="s">
        <v>983</v>
      </c>
      <c r="AA355" s="5"/>
      <c r="AB355" s="5"/>
      <c r="AC355" t="s">
        <v>684</v>
      </c>
      <c r="AD355" t="s">
        <v>985</v>
      </c>
      <c r="AE355" t="s">
        <v>933</v>
      </c>
      <c r="AF355" t="s">
        <v>56</v>
      </c>
      <c r="AG355">
        <v>34</v>
      </c>
      <c r="AH355">
        <v>0.15160000000000001</v>
      </c>
      <c r="AI355">
        <v>-0.60650000000000004</v>
      </c>
      <c r="AJ355">
        <v>30998</v>
      </c>
      <c r="AK355">
        <v>130</v>
      </c>
      <c r="AL355">
        <v>270</v>
      </c>
      <c r="AM355">
        <v>1392</v>
      </c>
      <c r="AP355" s="3">
        <f t="shared" si="4"/>
        <v>45882.027777777781</v>
      </c>
    </row>
    <row r="356" spans="6:42" ht="14.45" hidden="1" customHeight="1" x14ac:dyDescent="0.25">
      <c r="F356" s="1">
        <v>43182.664583333331</v>
      </c>
      <c r="G356" t="s">
        <v>44</v>
      </c>
      <c r="H356" t="s">
        <v>124</v>
      </c>
      <c r="I356" t="s">
        <v>125</v>
      </c>
      <c r="J356">
        <v>14796</v>
      </c>
      <c r="K356" t="s">
        <v>490</v>
      </c>
      <c r="L356">
        <v>1289851</v>
      </c>
      <c r="M356">
        <v>213</v>
      </c>
      <c r="N356">
        <v>99093</v>
      </c>
      <c r="P356">
        <v>548</v>
      </c>
      <c r="R356">
        <v>1430</v>
      </c>
      <c r="S356" t="s">
        <v>202</v>
      </c>
      <c r="V356" t="s">
        <v>48</v>
      </c>
      <c r="W356" t="s">
        <v>49</v>
      </c>
      <c r="X356" t="s">
        <v>50</v>
      </c>
      <c r="Z356" t="s">
        <v>666</v>
      </c>
      <c r="AA356">
        <v>43.279780000000002</v>
      </c>
      <c r="AB356">
        <v>-79.893590000000003</v>
      </c>
      <c r="AC356" t="s">
        <v>666</v>
      </c>
      <c r="AD356" t="str">
        <f>CONCATENATE(K356,"-",J356)</f>
        <v>A69-9006-14796</v>
      </c>
      <c r="AE356" t="s">
        <v>55</v>
      </c>
      <c r="AF356" t="s">
        <v>56</v>
      </c>
      <c r="AG356">
        <v>34</v>
      </c>
      <c r="AH356">
        <v>0.15160000000000001</v>
      </c>
      <c r="AI356">
        <v>-0.60650000000000004</v>
      </c>
      <c r="AJ356">
        <v>25438</v>
      </c>
      <c r="AK356">
        <v>130</v>
      </c>
      <c r="AL356">
        <v>270</v>
      </c>
      <c r="AM356">
        <v>1387</v>
      </c>
      <c r="AP356" s="3">
        <f t="shared" si="4"/>
        <v>44569.664583333331</v>
      </c>
    </row>
    <row r="357" spans="6:42" ht="14.45" hidden="1" customHeight="1" x14ac:dyDescent="0.25">
      <c r="F357" s="1">
        <v>43182.670138888891</v>
      </c>
      <c r="G357" t="s">
        <v>44</v>
      </c>
      <c r="H357" t="s">
        <v>124</v>
      </c>
      <c r="I357" t="s">
        <v>125</v>
      </c>
      <c r="J357">
        <v>14795</v>
      </c>
      <c r="K357" t="s">
        <v>490</v>
      </c>
      <c r="L357">
        <v>1289850</v>
      </c>
      <c r="M357">
        <v>214</v>
      </c>
      <c r="N357">
        <v>99113</v>
      </c>
      <c r="P357">
        <v>649</v>
      </c>
      <c r="R357">
        <v>2180</v>
      </c>
      <c r="S357" t="s">
        <v>202</v>
      </c>
      <c r="V357" t="s">
        <v>48</v>
      </c>
      <c r="W357" t="s">
        <v>49</v>
      </c>
      <c r="X357" t="s">
        <v>50</v>
      </c>
      <c r="Z357" t="s">
        <v>666</v>
      </c>
      <c r="AA357">
        <v>43.279780000000002</v>
      </c>
      <c r="AB357">
        <v>-79.893590000000003</v>
      </c>
      <c r="AC357" t="s">
        <v>666</v>
      </c>
      <c r="AD357" t="str">
        <f>CONCATENATE(K357,"-",J357)</f>
        <v>A69-9006-14795</v>
      </c>
      <c r="AE357" t="s">
        <v>55</v>
      </c>
      <c r="AF357" t="s">
        <v>56</v>
      </c>
      <c r="AG357">
        <v>34</v>
      </c>
      <c r="AH357">
        <v>0.15160000000000001</v>
      </c>
      <c r="AI357">
        <v>-0.60650000000000004</v>
      </c>
      <c r="AJ357">
        <v>25438</v>
      </c>
      <c r="AK357">
        <v>130</v>
      </c>
      <c r="AL357">
        <v>270</v>
      </c>
      <c r="AM357">
        <v>1387</v>
      </c>
      <c r="AP357" s="3">
        <f t="shared" si="4"/>
        <v>44569.670138888891</v>
      </c>
    </row>
    <row r="358" spans="6:42" hidden="1" x14ac:dyDescent="0.25">
      <c r="F358" s="1">
        <v>44110</v>
      </c>
      <c r="G358" t="s">
        <v>44</v>
      </c>
      <c r="H358" t="s">
        <v>124</v>
      </c>
      <c r="I358" t="s">
        <v>125</v>
      </c>
      <c r="J358">
        <v>12551</v>
      </c>
      <c r="K358" t="s">
        <v>490</v>
      </c>
      <c r="L358">
        <v>1336205</v>
      </c>
      <c r="M358">
        <v>77</v>
      </c>
      <c r="N358">
        <v>160414</v>
      </c>
      <c r="P358">
        <v>423</v>
      </c>
      <c r="Q358">
        <v>441</v>
      </c>
      <c r="R358">
        <v>480</v>
      </c>
      <c r="V358" t="s">
        <v>48</v>
      </c>
      <c r="W358" t="s">
        <v>49</v>
      </c>
      <c r="X358" t="s">
        <v>50</v>
      </c>
      <c r="Z358" t="s">
        <v>986</v>
      </c>
      <c r="AA358">
        <v>43.253644999999999</v>
      </c>
      <c r="AB358">
        <v>-79.762354999999999</v>
      </c>
      <c r="AC358" t="s">
        <v>987</v>
      </c>
      <c r="AD358" t="str">
        <f>CONCATENATE(K358,"-",J358)</f>
        <v>A69-9006-12551</v>
      </c>
      <c r="AE358" t="s">
        <v>754</v>
      </c>
      <c r="AF358" t="s">
        <v>56</v>
      </c>
      <c r="AG358">
        <v>34</v>
      </c>
      <c r="AH358">
        <v>0.15160000000000001</v>
      </c>
      <c r="AI358">
        <v>-0.60650000000000004</v>
      </c>
      <c r="AJ358">
        <v>28841</v>
      </c>
      <c r="AK358">
        <v>130</v>
      </c>
      <c r="AL358">
        <v>270</v>
      </c>
      <c r="AM358">
        <v>1244</v>
      </c>
      <c r="AP358" s="3">
        <f t="shared" si="4"/>
        <v>45354</v>
      </c>
    </row>
    <row r="359" spans="6:42" x14ac:dyDescent="0.25">
      <c r="F359" s="8">
        <v>45033.645833333336</v>
      </c>
      <c r="G359" t="s">
        <v>44</v>
      </c>
      <c r="H359" t="s">
        <v>607</v>
      </c>
      <c r="I359" t="s">
        <v>779</v>
      </c>
      <c r="J359">
        <v>1385</v>
      </c>
      <c r="K359" t="s">
        <v>931</v>
      </c>
      <c r="L359">
        <v>1546508</v>
      </c>
      <c r="M359">
        <v>12329</v>
      </c>
      <c r="P359">
        <v>345</v>
      </c>
      <c r="Q359">
        <v>383</v>
      </c>
      <c r="R359">
        <v>1000</v>
      </c>
      <c r="U359" t="s">
        <v>903</v>
      </c>
      <c r="V359" t="s">
        <v>48</v>
      </c>
      <c r="W359" t="s">
        <v>49</v>
      </c>
      <c r="X359" t="s">
        <v>50</v>
      </c>
      <c r="Z359" t="s">
        <v>666</v>
      </c>
      <c r="AA359">
        <v>43.279780000000002</v>
      </c>
      <c r="AB359">
        <v>-79.893590000000003</v>
      </c>
      <c r="AC359" t="s">
        <v>666</v>
      </c>
      <c r="AD359" t="str">
        <f t="shared" ref="AD359:AD399" si="5">CONCATENATE(K359,"-",J359)</f>
        <v>A69-9002-1385</v>
      </c>
      <c r="AE359" t="s">
        <v>988</v>
      </c>
      <c r="AF359" t="s">
        <v>989</v>
      </c>
      <c r="AG359" t="s">
        <v>990</v>
      </c>
      <c r="AH359">
        <v>0.15690000000000001</v>
      </c>
      <c r="AI359">
        <v>-5</v>
      </c>
      <c r="AJ359">
        <v>35532</v>
      </c>
      <c r="AK359">
        <v>130</v>
      </c>
      <c r="AL359">
        <v>270</v>
      </c>
      <c r="AM359">
        <v>730</v>
      </c>
      <c r="AP359" s="3">
        <f>F359+AM359</f>
        <v>45763.645833333336</v>
      </c>
    </row>
    <row r="360" spans="6:42" hidden="1" x14ac:dyDescent="0.25">
      <c r="F360" s="8">
        <v>45033.645833333336</v>
      </c>
      <c r="G360" t="s">
        <v>44</v>
      </c>
      <c r="H360" t="s">
        <v>553</v>
      </c>
      <c r="I360" t="s">
        <v>554</v>
      </c>
      <c r="J360">
        <v>1387</v>
      </c>
      <c r="K360" t="s">
        <v>931</v>
      </c>
      <c r="L360">
        <v>1546509</v>
      </c>
      <c r="M360">
        <v>12330</v>
      </c>
      <c r="P360">
        <v>311</v>
      </c>
      <c r="Q360">
        <v>345</v>
      </c>
      <c r="R360">
        <v>840</v>
      </c>
      <c r="S360" t="s">
        <v>206</v>
      </c>
      <c r="U360" t="s">
        <v>903</v>
      </c>
      <c r="V360" t="s">
        <v>48</v>
      </c>
      <c r="W360" t="s">
        <v>49</v>
      </c>
      <c r="X360" t="s">
        <v>50</v>
      </c>
      <c r="Z360" t="s">
        <v>666</v>
      </c>
      <c r="AA360">
        <v>43.279780000000002</v>
      </c>
      <c r="AB360">
        <v>-79.893590000000003</v>
      </c>
      <c r="AC360" t="s">
        <v>666</v>
      </c>
      <c r="AD360" t="str">
        <f t="shared" si="5"/>
        <v>A69-9002-1387</v>
      </c>
      <c r="AE360" t="s">
        <v>988</v>
      </c>
      <c r="AF360" t="s">
        <v>989</v>
      </c>
      <c r="AG360" t="s">
        <v>991</v>
      </c>
      <c r="AH360">
        <v>0.15690000000000001</v>
      </c>
      <c r="AI360">
        <v>-5</v>
      </c>
      <c r="AJ360">
        <v>35532</v>
      </c>
      <c r="AK360">
        <v>130</v>
      </c>
      <c r="AL360">
        <v>270</v>
      </c>
      <c r="AM360">
        <v>730</v>
      </c>
      <c r="AN360" t="s">
        <v>992</v>
      </c>
      <c r="AP360" s="3">
        <f t="shared" ref="AP360:AP398" si="6">F360+AM360</f>
        <v>45763.645833333336</v>
      </c>
    </row>
    <row r="361" spans="6:42" hidden="1" x14ac:dyDescent="0.25">
      <c r="F361" s="8">
        <v>45033.6875</v>
      </c>
      <c r="G361" t="s">
        <v>44</v>
      </c>
      <c r="H361" t="s">
        <v>553</v>
      </c>
      <c r="I361" t="s">
        <v>554</v>
      </c>
      <c r="J361">
        <v>1383</v>
      </c>
      <c r="K361" t="s">
        <v>931</v>
      </c>
      <c r="L361">
        <v>1546507</v>
      </c>
      <c r="M361">
        <v>11650</v>
      </c>
      <c r="P361">
        <v>329</v>
      </c>
      <c r="Q361">
        <v>365</v>
      </c>
      <c r="R361">
        <v>880</v>
      </c>
      <c r="U361" t="s">
        <v>903</v>
      </c>
      <c r="V361" t="s">
        <v>48</v>
      </c>
      <c r="W361" t="s">
        <v>49</v>
      </c>
      <c r="X361" t="s">
        <v>50</v>
      </c>
      <c r="Z361" t="s">
        <v>666</v>
      </c>
      <c r="AA361">
        <v>43.279780000000002</v>
      </c>
      <c r="AB361">
        <v>-79.893590000000003</v>
      </c>
      <c r="AC361" t="s">
        <v>666</v>
      </c>
      <c r="AD361" t="str">
        <f t="shared" si="5"/>
        <v>A69-9002-1383</v>
      </c>
      <c r="AE361" t="s">
        <v>988</v>
      </c>
      <c r="AF361" t="s">
        <v>989</v>
      </c>
      <c r="AG361" t="s">
        <v>993</v>
      </c>
      <c r="AH361">
        <v>0.15690000000000001</v>
      </c>
      <c r="AI361">
        <v>-5</v>
      </c>
      <c r="AJ361">
        <v>35532</v>
      </c>
      <c r="AK361">
        <v>130</v>
      </c>
      <c r="AL361">
        <v>270</v>
      </c>
      <c r="AM361">
        <v>730</v>
      </c>
      <c r="AP361" s="3">
        <f t="shared" si="6"/>
        <v>45763.6875</v>
      </c>
    </row>
    <row r="362" spans="6:42" hidden="1" x14ac:dyDescent="0.25">
      <c r="F362" s="8">
        <v>45033.6875</v>
      </c>
      <c r="G362" t="s">
        <v>44</v>
      </c>
      <c r="H362" t="s">
        <v>553</v>
      </c>
      <c r="I362" t="s">
        <v>554</v>
      </c>
      <c r="J362">
        <v>1389</v>
      </c>
      <c r="K362" t="s">
        <v>931</v>
      </c>
      <c r="L362">
        <v>1546510</v>
      </c>
      <c r="M362">
        <v>11649</v>
      </c>
      <c r="P362">
        <v>253</v>
      </c>
      <c r="Q362">
        <v>281</v>
      </c>
      <c r="R362">
        <v>520</v>
      </c>
      <c r="U362" t="s">
        <v>903</v>
      </c>
      <c r="V362" t="s">
        <v>48</v>
      </c>
      <c r="W362" t="s">
        <v>49</v>
      </c>
      <c r="X362" t="s">
        <v>50</v>
      </c>
      <c r="Z362" t="s">
        <v>666</v>
      </c>
      <c r="AA362">
        <v>43.279780000000002</v>
      </c>
      <c r="AB362">
        <v>-79.893590000000003</v>
      </c>
      <c r="AC362" t="s">
        <v>666</v>
      </c>
      <c r="AD362" t="str">
        <f t="shared" si="5"/>
        <v>A69-9002-1389</v>
      </c>
      <c r="AE362" t="s">
        <v>988</v>
      </c>
      <c r="AF362" t="s">
        <v>989</v>
      </c>
      <c r="AG362" t="s">
        <v>994</v>
      </c>
      <c r="AH362">
        <v>0.15690000000000001</v>
      </c>
      <c r="AI362">
        <v>-5</v>
      </c>
      <c r="AJ362">
        <v>35532</v>
      </c>
      <c r="AK362">
        <v>130</v>
      </c>
      <c r="AL362">
        <v>270</v>
      </c>
      <c r="AM362">
        <v>730</v>
      </c>
      <c r="AP362" s="3">
        <f t="shared" si="6"/>
        <v>45763.6875</v>
      </c>
    </row>
    <row r="363" spans="6:42" x14ac:dyDescent="0.25">
      <c r="F363" s="8">
        <v>45033.6875</v>
      </c>
      <c r="G363" t="s">
        <v>44</v>
      </c>
      <c r="H363" t="s">
        <v>607</v>
      </c>
      <c r="I363" t="s">
        <v>779</v>
      </c>
      <c r="J363">
        <v>1391</v>
      </c>
      <c r="K363" t="s">
        <v>931</v>
      </c>
      <c r="L363">
        <v>1546511</v>
      </c>
      <c r="M363">
        <v>11648</v>
      </c>
      <c r="N363" t="s">
        <v>1044</v>
      </c>
      <c r="P363">
        <v>362</v>
      </c>
      <c r="Q363">
        <v>400</v>
      </c>
      <c r="R363">
        <v>1280</v>
      </c>
      <c r="U363" t="s">
        <v>903</v>
      </c>
      <c r="V363" t="s">
        <v>48</v>
      </c>
      <c r="W363" t="s">
        <v>49</v>
      </c>
      <c r="X363" t="s">
        <v>50</v>
      </c>
      <c r="Z363" t="s">
        <v>666</v>
      </c>
      <c r="AA363">
        <v>43.279780000000002</v>
      </c>
      <c r="AB363">
        <v>-79.893590000000003</v>
      </c>
      <c r="AC363" t="s">
        <v>666</v>
      </c>
      <c r="AD363" t="str">
        <f t="shared" si="5"/>
        <v>A69-9002-1391</v>
      </c>
      <c r="AE363" t="s">
        <v>988</v>
      </c>
      <c r="AF363" t="s">
        <v>989</v>
      </c>
      <c r="AG363" t="s">
        <v>995</v>
      </c>
      <c r="AH363">
        <v>0.15690000000000001</v>
      </c>
      <c r="AI363">
        <v>-5</v>
      </c>
      <c r="AJ363">
        <v>35532</v>
      </c>
      <c r="AK363">
        <v>130</v>
      </c>
      <c r="AL363">
        <v>270</v>
      </c>
      <c r="AM363">
        <v>730</v>
      </c>
      <c r="AN363" t="s">
        <v>1034</v>
      </c>
      <c r="AO363" t="s">
        <v>1033</v>
      </c>
      <c r="AP363" s="3">
        <f t="shared" si="6"/>
        <v>45763.6875</v>
      </c>
    </row>
    <row r="364" spans="6:42" hidden="1" x14ac:dyDescent="0.25">
      <c r="F364" s="8">
        <v>45033.697916666664</v>
      </c>
      <c r="G364" t="s">
        <v>44</v>
      </c>
      <c r="H364" t="s">
        <v>553</v>
      </c>
      <c r="I364" t="s">
        <v>554</v>
      </c>
      <c r="J364">
        <v>1381</v>
      </c>
      <c r="K364" t="s">
        <v>931</v>
      </c>
      <c r="L364">
        <v>1546506</v>
      </c>
      <c r="M364">
        <v>11646</v>
      </c>
      <c r="P364">
        <v>307</v>
      </c>
      <c r="Q364">
        <v>338</v>
      </c>
      <c r="R364">
        <v>620</v>
      </c>
      <c r="U364" t="s">
        <v>903</v>
      </c>
      <c r="V364" t="s">
        <v>48</v>
      </c>
      <c r="W364" t="s">
        <v>49</v>
      </c>
      <c r="X364" t="s">
        <v>50</v>
      </c>
      <c r="Z364" t="s">
        <v>666</v>
      </c>
      <c r="AA364">
        <v>43.279780000000002</v>
      </c>
      <c r="AB364">
        <v>-79.893590000000003</v>
      </c>
      <c r="AC364" t="s">
        <v>666</v>
      </c>
      <c r="AD364" t="str">
        <f t="shared" si="5"/>
        <v>A69-9002-1381</v>
      </c>
      <c r="AE364" t="s">
        <v>988</v>
      </c>
      <c r="AF364" t="s">
        <v>989</v>
      </c>
      <c r="AG364" t="s">
        <v>996</v>
      </c>
      <c r="AH364">
        <v>0.15690000000000001</v>
      </c>
      <c r="AI364">
        <v>-5</v>
      </c>
      <c r="AJ364">
        <v>35532</v>
      </c>
      <c r="AK364">
        <v>130</v>
      </c>
      <c r="AL364">
        <v>270</v>
      </c>
      <c r="AM364">
        <v>730</v>
      </c>
      <c r="AP364" s="3">
        <f t="shared" si="6"/>
        <v>45763.697916666664</v>
      </c>
    </row>
    <row r="365" spans="6:42" x14ac:dyDescent="0.25">
      <c r="F365" s="8">
        <v>45033.697916666664</v>
      </c>
      <c r="G365" t="s">
        <v>44</v>
      </c>
      <c r="H365" t="s">
        <v>607</v>
      </c>
      <c r="I365" t="s">
        <v>779</v>
      </c>
      <c r="J365">
        <v>1379</v>
      </c>
      <c r="K365" t="s">
        <v>931</v>
      </c>
      <c r="L365">
        <v>1546505</v>
      </c>
      <c r="M365">
        <v>11645</v>
      </c>
      <c r="P365">
        <v>361</v>
      </c>
      <c r="Q365">
        <v>391</v>
      </c>
      <c r="R365">
        <v>1120</v>
      </c>
      <c r="U365" t="s">
        <v>903</v>
      </c>
      <c r="V365" t="s">
        <v>48</v>
      </c>
      <c r="W365" t="s">
        <v>49</v>
      </c>
      <c r="X365" t="s">
        <v>50</v>
      </c>
      <c r="Z365" t="s">
        <v>666</v>
      </c>
      <c r="AA365">
        <v>43.279780000000002</v>
      </c>
      <c r="AB365">
        <v>-79.893590000000003</v>
      </c>
      <c r="AC365" t="s">
        <v>666</v>
      </c>
      <c r="AD365" t="str">
        <f t="shared" si="5"/>
        <v>A69-9002-1379</v>
      </c>
      <c r="AE365" t="s">
        <v>988</v>
      </c>
      <c r="AF365" t="s">
        <v>989</v>
      </c>
      <c r="AG365" t="s">
        <v>997</v>
      </c>
      <c r="AH365">
        <v>0.15690000000000001</v>
      </c>
      <c r="AI365">
        <v>-5</v>
      </c>
      <c r="AJ365">
        <v>35532</v>
      </c>
      <c r="AK365">
        <v>130</v>
      </c>
      <c r="AL365">
        <v>270</v>
      </c>
      <c r="AM365">
        <v>730</v>
      </c>
      <c r="AP365" s="3">
        <f t="shared" si="6"/>
        <v>45763.697916666664</v>
      </c>
    </row>
    <row r="366" spans="6:42" hidden="1" x14ac:dyDescent="0.25">
      <c r="F366" s="8">
        <v>45033.697916666664</v>
      </c>
      <c r="G366" t="s">
        <v>44</v>
      </c>
      <c r="H366" t="s">
        <v>553</v>
      </c>
      <c r="I366" t="s">
        <v>554</v>
      </c>
      <c r="J366">
        <v>1393</v>
      </c>
      <c r="K366" t="s">
        <v>931</v>
      </c>
      <c r="L366">
        <v>1546512</v>
      </c>
      <c r="M366">
        <v>11644</v>
      </c>
      <c r="P366">
        <v>319</v>
      </c>
      <c r="Q366">
        <v>354</v>
      </c>
      <c r="R366">
        <v>900</v>
      </c>
      <c r="U366" t="s">
        <v>903</v>
      </c>
      <c r="V366" t="s">
        <v>48</v>
      </c>
      <c r="W366" t="s">
        <v>49</v>
      </c>
      <c r="X366" t="s">
        <v>50</v>
      </c>
      <c r="Z366" t="s">
        <v>666</v>
      </c>
      <c r="AA366">
        <v>43.279780000000002</v>
      </c>
      <c r="AB366">
        <v>-79.893590000000003</v>
      </c>
      <c r="AC366" t="s">
        <v>666</v>
      </c>
      <c r="AD366" t="str">
        <f t="shared" si="5"/>
        <v>A69-9002-1393</v>
      </c>
      <c r="AE366" t="s">
        <v>988</v>
      </c>
      <c r="AF366" t="s">
        <v>989</v>
      </c>
      <c r="AG366" t="s">
        <v>998</v>
      </c>
      <c r="AH366">
        <v>0.15690000000000001</v>
      </c>
      <c r="AI366">
        <v>-5</v>
      </c>
      <c r="AJ366">
        <v>35532</v>
      </c>
      <c r="AK366">
        <v>130</v>
      </c>
      <c r="AL366">
        <v>270</v>
      </c>
      <c r="AM366">
        <v>730</v>
      </c>
      <c r="AN366" t="s">
        <v>992</v>
      </c>
      <c r="AP366" s="3">
        <f t="shared" si="6"/>
        <v>45763.697916666664</v>
      </c>
    </row>
    <row r="367" spans="6:42" hidden="1" x14ac:dyDescent="0.25">
      <c r="F367" s="8">
        <v>45033.715277777781</v>
      </c>
      <c r="G367" t="s">
        <v>44</v>
      </c>
      <c r="H367" t="s">
        <v>553</v>
      </c>
      <c r="I367" t="s">
        <v>554</v>
      </c>
      <c r="J367">
        <v>1395</v>
      </c>
      <c r="K367" t="s">
        <v>931</v>
      </c>
      <c r="L367">
        <v>1546513</v>
      </c>
      <c r="M367">
        <v>11643</v>
      </c>
      <c r="P367">
        <v>285</v>
      </c>
      <c r="Q367">
        <v>323</v>
      </c>
      <c r="R367">
        <v>660</v>
      </c>
      <c r="U367" t="s">
        <v>903</v>
      </c>
      <c r="V367" t="s">
        <v>48</v>
      </c>
      <c r="W367" t="s">
        <v>49</v>
      </c>
      <c r="X367" t="s">
        <v>50</v>
      </c>
      <c r="Z367" t="s">
        <v>666</v>
      </c>
      <c r="AA367">
        <v>43.279780000000002</v>
      </c>
      <c r="AB367">
        <v>-79.893590000000003</v>
      </c>
      <c r="AC367" t="s">
        <v>666</v>
      </c>
      <c r="AD367" t="str">
        <f t="shared" si="5"/>
        <v>A69-9002-1395</v>
      </c>
      <c r="AE367" t="s">
        <v>988</v>
      </c>
      <c r="AF367" t="s">
        <v>989</v>
      </c>
      <c r="AG367" t="s">
        <v>999</v>
      </c>
      <c r="AH367">
        <v>0.15690000000000001</v>
      </c>
      <c r="AI367">
        <v>-5</v>
      </c>
      <c r="AJ367">
        <v>35532</v>
      </c>
      <c r="AK367">
        <v>130</v>
      </c>
      <c r="AL367">
        <v>270</v>
      </c>
      <c r="AM367">
        <v>730</v>
      </c>
      <c r="AN367" t="s">
        <v>954</v>
      </c>
      <c r="AP367" s="3">
        <f t="shared" si="6"/>
        <v>45763.715277777781</v>
      </c>
    </row>
    <row r="368" spans="6:42" x14ac:dyDescent="0.25">
      <c r="F368" s="8">
        <v>45034.625</v>
      </c>
      <c r="G368" t="s">
        <v>44</v>
      </c>
      <c r="H368" t="s">
        <v>607</v>
      </c>
      <c r="I368" t="s">
        <v>779</v>
      </c>
      <c r="J368">
        <v>1377</v>
      </c>
      <c r="K368" t="s">
        <v>931</v>
      </c>
      <c r="L368">
        <v>1546504</v>
      </c>
      <c r="M368">
        <v>11642</v>
      </c>
      <c r="P368">
        <v>334</v>
      </c>
      <c r="Q368">
        <v>370</v>
      </c>
      <c r="R368">
        <v>1000</v>
      </c>
      <c r="U368" t="s">
        <v>903</v>
      </c>
      <c r="V368" t="s">
        <v>48</v>
      </c>
      <c r="W368" t="s">
        <v>49</v>
      </c>
      <c r="X368" t="s">
        <v>50</v>
      </c>
      <c r="Z368" t="s">
        <v>666</v>
      </c>
      <c r="AA368">
        <v>43.279780000000002</v>
      </c>
      <c r="AB368">
        <v>-79.893590000000003</v>
      </c>
      <c r="AC368" t="s">
        <v>666</v>
      </c>
      <c r="AD368" t="str">
        <f t="shared" si="5"/>
        <v>A69-9002-1377</v>
      </c>
      <c r="AE368" t="s">
        <v>988</v>
      </c>
      <c r="AF368" t="s">
        <v>989</v>
      </c>
      <c r="AG368" t="s">
        <v>1000</v>
      </c>
      <c r="AH368">
        <v>0.15690000000000001</v>
      </c>
      <c r="AI368">
        <v>-5</v>
      </c>
      <c r="AJ368">
        <v>35532</v>
      </c>
      <c r="AK368">
        <v>130</v>
      </c>
      <c r="AL368">
        <v>270</v>
      </c>
      <c r="AM368">
        <v>730</v>
      </c>
      <c r="AP368" s="3">
        <f t="shared" si="6"/>
        <v>45764.625</v>
      </c>
    </row>
    <row r="369" spans="6:42" x14ac:dyDescent="0.25">
      <c r="F369" s="8">
        <v>45034.625</v>
      </c>
      <c r="G369" t="s">
        <v>44</v>
      </c>
      <c r="H369" t="s">
        <v>607</v>
      </c>
      <c r="I369" t="s">
        <v>779</v>
      </c>
      <c r="J369">
        <v>1373</v>
      </c>
      <c r="K369" t="s">
        <v>931</v>
      </c>
      <c r="L369">
        <v>1546502</v>
      </c>
      <c r="M369">
        <v>11641</v>
      </c>
      <c r="P369">
        <v>330</v>
      </c>
      <c r="Q369">
        <v>368</v>
      </c>
      <c r="R369">
        <v>1000</v>
      </c>
      <c r="U369" t="s">
        <v>903</v>
      </c>
      <c r="V369" t="s">
        <v>48</v>
      </c>
      <c r="W369" t="s">
        <v>49</v>
      </c>
      <c r="X369" t="s">
        <v>50</v>
      </c>
      <c r="Z369" t="s">
        <v>666</v>
      </c>
      <c r="AA369">
        <v>43.279780000000002</v>
      </c>
      <c r="AB369">
        <v>-79.893590000000003</v>
      </c>
      <c r="AC369" t="s">
        <v>666</v>
      </c>
      <c r="AD369" t="str">
        <f t="shared" si="5"/>
        <v>A69-9002-1373</v>
      </c>
      <c r="AE369" t="s">
        <v>988</v>
      </c>
      <c r="AF369" t="s">
        <v>989</v>
      </c>
      <c r="AG369" t="s">
        <v>1001</v>
      </c>
      <c r="AH369">
        <v>0.15690000000000001</v>
      </c>
      <c r="AI369">
        <v>-5</v>
      </c>
      <c r="AJ369">
        <v>35532</v>
      </c>
      <c r="AK369">
        <v>130</v>
      </c>
      <c r="AL369">
        <v>270</v>
      </c>
      <c r="AM369">
        <v>730</v>
      </c>
      <c r="AP369" s="3">
        <f t="shared" si="6"/>
        <v>45764.625</v>
      </c>
    </row>
    <row r="370" spans="6:42" hidden="1" x14ac:dyDescent="0.25">
      <c r="F370" s="8">
        <v>45034.645833333336</v>
      </c>
      <c r="G370" t="s">
        <v>44</v>
      </c>
      <c r="H370" t="s">
        <v>553</v>
      </c>
      <c r="I370" t="s">
        <v>554</v>
      </c>
      <c r="J370">
        <v>1375</v>
      </c>
      <c r="K370" t="s">
        <v>931</v>
      </c>
      <c r="L370">
        <v>1546503</v>
      </c>
      <c r="M370">
        <v>11640</v>
      </c>
      <c r="P370">
        <v>276</v>
      </c>
      <c r="Q370">
        <v>312</v>
      </c>
      <c r="R370">
        <v>600</v>
      </c>
      <c r="U370" t="s">
        <v>903</v>
      </c>
      <c r="V370" t="s">
        <v>48</v>
      </c>
      <c r="W370" t="s">
        <v>49</v>
      </c>
      <c r="X370" t="s">
        <v>50</v>
      </c>
      <c r="Z370" t="s">
        <v>666</v>
      </c>
      <c r="AA370">
        <v>43.279780000000002</v>
      </c>
      <c r="AB370">
        <v>-79.893590000000003</v>
      </c>
      <c r="AC370" t="s">
        <v>666</v>
      </c>
      <c r="AD370" t="str">
        <f t="shared" si="5"/>
        <v>A69-9002-1375</v>
      </c>
      <c r="AE370" t="s">
        <v>988</v>
      </c>
      <c r="AF370" t="s">
        <v>989</v>
      </c>
      <c r="AG370" t="s">
        <v>1002</v>
      </c>
      <c r="AH370">
        <v>0.15690000000000001</v>
      </c>
      <c r="AI370">
        <v>-5</v>
      </c>
      <c r="AJ370">
        <v>35532</v>
      </c>
      <c r="AK370">
        <v>130</v>
      </c>
      <c r="AL370">
        <v>270</v>
      </c>
      <c r="AM370">
        <v>730</v>
      </c>
      <c r="AN370" t="s">
        <v>992</v>
      </c>
      <c r="AP370" s="3">
        <f t="shared" si="6"/>
        <v>45764.645833333336</v>
      </c>
    </row>
    <row r="371" spans="6:42" x14ac:dyDescent="0.25">
      <c r="F371" s="8">
        <v>45034.645833333336</v>
      </c>
      <c r="G371" t="s">
        <v>44</v>
      </c>
      <c r="H371" t="s">
        <v>607</v>
      </c>
      <c r="I371" t="s">
        <v>779</v>
      </c>
      <c r="J371">
        <v>1397</v>
      </c>
      <c r="K371" t="s">
        <v>931</v>
      </c>
      <c r="L371">
        <v>1546514</v>
      </c>
      <c r="M371">
        <v>11639</v>
      </c>
      <c r="P371">
        <v>368</v>
      </c>
      <c r="Q371">
        <v>409</v>
      </c>
      <c r="R371">
        <v>1420</v>
      </c>
      <c r="U371" t="s">
        <v>903</v>
      </c>
      <c r="V371" t="s">
        <v>48</v>
      </c>
      <c r="W371" t="s">
        <v>49</v>
      </c>
      <c r="X371" t="s">
        <v>50</v>
      </c>
      <c r="Z371" t="s">
        <v>666</v>
      </c>
      <c r="AA371">
        <v>43.279780000000002</v>
      </c>
      <c r="AB371">
        <v>-79.893590000000003</v>
      </c>
      <c r="AC371" t="s">
        <v>666</v>
      </c>
      <c r="AD371" t="str">
        <f t="shared" si="5"/>
        <v>A69-9002-1397</v>
      </c>
      <c r="AE371" t="s">
        <v>988</v>
      </c>
      <c r="AF371" t="s">
        <v>989</v>
      </c>
      <c r="AG371" t="s">
        <v>1003</v>
      </c>
      <c r="AH371">
        <v>0.15690000000000001</v>
      </c>
      <c r="AI371">
        <v>-5</v>
      </c>
      <c r="AJ371">
        <v>35532</v>
      </c>
      <c r="AK371">
        <v>130</v>
      </c>
      <c r="AL371">
        <v>270</v>
      </c>
      <c r="AM371">
        <v>730</v>
      </c>
      <c r="AP371" s="3">
        <f t="shared" si="6"/>
        <v>45764.645833333336</v>
      </c>
    </row>
    <row r="372" spans="6:42" x14ac:dyDescent="0.25">
      <c r="F372" s="8">
        <v>45034.645833333336</v>
      </c>
      <c r="G372" t="s">
        <v>44</v>
      </c>
      <c r="H372" t="s">
        <v>607</v>
      </c>
      <c r="I372" t="s">
        <v>779</v>
      </c>
      <c r="J372">
        <v>1371</v>
      </c>
      <c r="K372" t="s">
        <v>931</v>
      </c>
      <c r="L372">
        <v>1546501</v>
      </c>
      <c r="M372">
        <v>11638</v>
      </c>
      <c r="P372">
        <v>341</v>
      </c>
      <c r="Q372">
        <v>382</v>
      </c>
      <c r="R372">
        <v>1060</v>
      </c>
      <c r="U372" t="s">
        <v>903</v>
      </c>
      <c r="V372" t="s">
        <v>48</v>
      </c>
      <c r="W372" t="s">
        <v>49</v>
      </c>
      <c r="X372" t="s">
        <v>50</v>
      </c>
      <c r="Z372" t="s">
        <v>666</v>
      </c>
      <c r="AA372">
        <v>43.279780000000002</v>
      </c>
      <c r="AB372">
        <v>-79.893590000000003</v>
      </c>
      <c r="AC372" t="s">
        <v>666</v>
      </c>
      <c r="AD372" t="str">
        <f t="shared" si="5"/>
        <v>A69-9002-1371</v>
      </c>
      <c r="AE372" t="s">
        <v>988</v>
      </c>
      <c r="AF372" t="s">
        <v>989</v>
      </c>
      <c r="AG372" t="s">
        <v>1004</v>
      </c>
      <c r="AH372">
        <v>0.15690000000000001</v>
      </c>
      <c r="AI372">
        <v>-5</v>
      </c>
      <c r="AJ372">
        <v>35532</v>
      </c>
      <c r="AK372">
        <v>130</v>
      </c>
      <c r="AL372">
        <v>270</v>
      </c>
      <c r="AM372">
        <v>730</v>
      </c>
      <c r="AP372" s="3">
        <f t="shared" si="6"/>
        <v>45764.645833333336</v>
      </c>
    </row>
    <row r="373" spans="6:42" hidden="1" x14ac:dyDescent="0.25">
      <c r="F373" s="8">
        <v>45034.694444444445</v>
      </c>
      <c r="G373" t="s">
        <v>44</v>
      </c>
      <c r="H373" t="s">
        <v>553</v>
      </c>
      <c r="I373" t="s">
        <v>554</v>
      </c>
      <c r="J373">
        <v>1399</v>
      </c>
      <c r="K373" t="s">
        <v>931</v>
      </c>
      <c r="L373">
        <v>1546515</v>
      </c>
      <c r="M373">
        <v>11637</v>
      </c>
      <c r="P373">
        <v>270</v>
      </c>
      <c r="Q373">
        <v>301</v>
      </c>
      <c r="R373">
        <v>580</v>
      </c>
      <c r="U373" t="s">
        <v>903</v>
      </c>
      <c r="V373" t="s">
        <v>48</v>
      </c>
      <c r="W373" t="s">
        <v>49</v>
      </c>
      <c r="X373" t="s">
        <v>50</v>
      </c>
      <c r="Z373" t="s">
        <v>666</v>
      </c>
      <c r="AA373">
        <v>43.279780000000002</v>
      </c>
      <c r="AB373">
        <v>-79.893590000000003</v>
      </c>
      <c r="AC373" t="s">
        <v>666</v>
      </c>
      <c r="AD373" t="str">
        <f t="shared" si="5"/>
        <v>A69-9002-1399</v>
      </c>
      <c r="AE373" t="s">
        <v>988</v>
      </c>
      <c r="AF373" t="s">
        <v>989</v>
      </c>
      <c r="AG373" t="s">
        <v>1005</v>
      </c>
      <c r="AH373">
        <v>0.15690000000000001</v>
      </c>
      <c r="AI373">
        <v>-5</v>
      </c>
      <c r="AJ373">
        <v>35532</v>
      </c>
      <c r="AK373">
        <v>130</v>
      </c>
      <c r="AL373">
        <v>270</v>
      </c>
      <c r="AM373">
        <v>730</v>
      </c>
      <c r="AN373" t="s">
        <v>992</v>
      </c>
      <c r="AP373" s="3">
        <f t="shared" si="6"/>
        <v>45764.694444444445</v>
      </c>
    </row>
    <row r="374" spans="6:42" x14ac:dyDescent="0.25">
      <c r="F374" s="8">
        <v>45034.694444444445</v>
      </c>
      <c r="G374" t="s">
        <v>44</v>
      </c>
      <c r="H374" t="s">
        <v>607</v>
      </c>
      <c r="I374" t="s">
        <v>779</v>
      </c>
      <c r="J374">
        <v>1369</v>
      </c>
      <c r="K374" t="s">
        <v>931</v>
      </c>
      <c r="L374">
        <v>1546500</v>
      </c>
      <c r="M374">
        <v>11636</v>
      </c>
      <c r="P374">
        <v>347</v>
      </c>
      <c r="Q374">
        <v>388</v>
      </c>
      <c r="R374">
        <v>1040</v>
      </c>
      <c r="U374" t="s">
        <v>903</v>
      </c>
      <c r="V374" t="s">
        <v>48</v>
      </c>
      <c r="W374" t="s">
        <v>49</v>
      </c>
      <c r="X374" t="s">
        <v>50</v>
      </c>
      <c r="Z374" t="s">
        <v>666</v>
      </c>
      <c r="AA374">
        <v>43.279780000000002</v>
      </c>
      <c r="AB374">
        <v>-79.893590000000003</v>
      </c>
      <c r="AC374" t="s">
        <v>666</v>
      </c>
      <c r="AD374" t="str">
        <f t="shared" si="5"/>
        <v>A69-9002-1369</v>
      </c>
      <c r="AE374" t="s">
        <v>988</v>
      </c>
      <c r="AF374" t="s">
        <v>989</v>
      </c>
      <c r="AG374" t="s">
        <v>1006</v>
      </c>
      <c r="AH374">
        <v>0.15690000000000001</v>
      </c>
      <c r="AI374">
        <v>-5</v>
      </c>
      <c r="AJ374">
        <v>35532</v>
      </c>
      <c r="AK374">
        <v>130</v>
      </c>
      <c r="AL374">
        <v>270</v>
      </c>
      <c r="AM374">
        <v>730</v>
      </c>
      <c r="AP374" s="3">
        <f t="shared" si="6"/>
        <v>45764.694444444445</v>
      </c>
    </row>
    <row r="375" spans="6:42" x14ac:dyDescent="0.25">
      <c r="F375" s="8">
        <v>45034.694444444445</v>
      </c>
      <c r="G375" t="s">
        <v>44</v>
      </c>
      <c r="H375" t="s">
        <v>607</v>
      </c>
      <c r="I375" t="s">
        <v>779</v>
      </c>
      <c r="J375">
        <v>1367</v>
      </c>
      <c r="K375" t="s">
        <v>931</v>
      </c>
      <c r="L375">
        <v>1546499</v>
      </c>
      <c r="M375">
        <v>11635</v>
      </c>
      <c r="P375">
        <v>342</v>
      </c>
      <c r="Q375">
        <v>376</v>
      </c>
      <c r="R375">
        <v>960</v>
      </c>
      <c r="U375" t="s">
        <v>903</v>
      </c>
      <c r="V375" t="s">
        <v>48</v>
      </c>
      <c r="W375" t="s">
        <v>49</v>
      </c>
      <c r="X375" t="s">
        <v>50</v>
      </c>
      <c r="Z375" t="s">
        <v>666</v>
      </c>
      <c r="AA375">
        <v>43.279780000000002</v>
      </c>
      <c r="AB375">
        <v>-79.893590000000003</v>
      </c>
      <c r="AC375" t="s">
        <v>666</v>
      </c>
      <c r="AD375" t="str">
        <f t="shared" si="5"/>
        <v>A69-9002-1367</v>
      </c>
      <c r="AE375" t="s">
        <v>988</v>
      </c>
      <c r="AF375" t="s">
        <v>989</v>
      </c>
      <c r="AG375" t="s">
        <v>1007</v>
      </c>
      <c r="AH375">
        <v>0.15690000000000001</v>
      </c>
      <c r="AI375">
        <v>-5</v>
      </c>
      <c r="AJ375">
        <v>35532</v>
      </c>
      <c r="AK375">
        <v>130</v>
      </c>
      <c r="AL375">
        <v>270</v>
      </c>
      <c r="AM375">
        <v>730</v>
      </c>
      <c r="AP375" s="3">
        <f t="shared" si="6"/>
        <v>45764.694444444445</v>
      </c>
    </row>
    <row r="376" spans="6:42" hidden="1" x14ac:dyDescent="0.25">
      <c r="F376" s="8">
        <v>45034.694444444445</v>
      </c>
      <c r="G376" t="s">
        <v>44</v>
      </c>
      <c r="H376" t="s">
        <v>553</v>
      </c>
      <c r="I376" t="s">
        <v>554</v>
      </c>
      <c r="J376">
        <v>1401</v>
      </c>
      <c r="K376" t="s">
        <v>931</v>
      </c>
      <c r="L376">
        <v>1546516</v>
      </c>
      <c r="M376">
        <v>11634</v>
      </c>
      <c r="P376">
        <v>283</v>
      </c>
      <c r="Q376">
        <v>315</v>
      </c>
      <c r="R376">
        <v>680</v>
      </c>
      <c r="U376" t="s">
        <v>903</v>
      </c>
      <c r="V376" t="s">
        <v>48</v>
      </c>
      <c r="W376" t="s">
        <v>49</v>
      </c>
      <c r="X376" t="s">
        <v>50</v>
      </c>
      <c r="Z376" t="s">
        <v>666</v>
      </c>
      <c r="AA376">
        <v>43.279780000000002</v>
      </c>
      <c r="AB376">
        <v>-79.893590000000003</v>
      </c>
      <c r="AC376" t="s">
        <v>666</v>
      </c>
      <c r="AD376" t="str">
        <f t="shared" si="5"/>
        <v>A69-9002-1401</v>
      </c>
      <c r="AE376" t="s">
        <v>988</v>
      </c>
      <c r="AF376" t="s">
        <v>989</v>
      </c>
      <c r="AG376" t="s">
        <v>1008</v>
      </c>
      <c r="AH376">
        <v>0.15690000000000001</v>
      </c>
      <c r="AI376">
        <v>-5</v>
      </c>
      <c r="AJ376">
        <v>35532</v>
      </c>
      <c r="AK376">
        <v>130</v>
      </c>
      <c r="AL376">
        <v>270</v>
      </c>
      <c r="AM376">
        <v>730</v>
      </c>
      <c r="AN376" t="s">
        <v>992</v>
      </c>
      <c r="AP376" s="3">
        <f t="shared" si="6"/>
        <v>45764.694444444445</v>
      </c>
    </row>
    <row r="377" spans="6:42" x14ac:dyDescent="0.25">
      <c r="F377" s="8">
        <v>45034.645833333336</v>
      </c>
      <c r="G377" t="s">
        <v>44</v>
      </c>
      <c r="H377" t="s">
        <v>607</v>
      </c>
      <c r="I377" t="s">
        <v>779</v>
      </c>
      <c r="J377">
        <v>1365</v>
      </c>
      <c r="K377" t="s">
        <v>931</v>
      </c>
      <c r="L377">
        <v>1546498</v>
      </c>
      <c r="M377">
        <v>11633</v>
      </c>
      <c r="P377">
        <v>330</v>
      </c>
      <c r="Q377">
        <v>366</v>
      </c>
      <c r="R377">
        <v>1000</v>
      </c>
      <c r="U377" t="s">
        <v>903</v>
      </c>
      <c r="V377" t="s">
        <v>48</v>
      </c>
      <c r="W377" t="s">
        <v>49</v>
      </c>
      <c r="X377" t="s">
        <v>50</v>
      </c>
      <c r="Z377" t="s">
        <v>666</v>
      </c>
      <c r="AA377">
        <v>43.279780000000002</v>
      </c>
      <c r="AB377">
        <v>-79.893590000000003</v>
      </c>
      <c r="AC377" t="s">
        <v>666</v>
      </c>
      <c r="AD377" t="str">
        <f t="shared" si="5"/>
        <v>A69-9002-1365</v>
      </c>
      <c r="AE377" t="s">
        <v>988</v>
      </c>
      <c r="AF377" t="s">
        <v>989</v>
      </c>
      <c r="AG377" t="s">
        <v>1009</v>
      </c>
      <c r="AH377">
        <v>0.15690000000000001</v>
      </c>
      <c r="AI377">
        <v>-5</v>
      </c>
      <c r="AJ377">
        <v>35532</v>
      </c>
      <c r="AK377">
        <v>130</v>
      </c>
      <c r="AL377">
        <v>270</v>
      </c>
      <c r="AM377">
        <v>730</v>
      </c>
      <c r="AP377" s="3">
        <f t="shared" si="6"/>
        <v>45764.645833333336</v>
      </c>
    </row>
    <row r="378" spans="6:42" hidden="1" x14ac:dyDescent="0.25">
      <c r="F378" s="8">
        <v>45035.694444444445</v>
      </c>
      <c r="G378" t="s">
        <v>44</v>
      </c>
      <c r="H378" t="s">
        <v>553</v>
      </c>
      <c r="I378" t="s">
        <v>554</v>
      </c>
      <c r="J378">
        <v>1403</v>
      </c>
      <c r="K378" t="s">
        <v>931</v>
      </c>
      <c r="L378">
        <v>1546517</v>
      </c>
      <c r="M378">
        <v>11631</v>
      </c>
      <c r="P378">
        <v>267</v>
      </c>
      <c r="Q378">
        <v>295</v>
      </c>
      <c r="R378">
        <v>500</v>
      </c>
      <c r="U378" t="s">
        <v>903</v>
      </c>
      <c r="V378" t="s">
        <v>48</v>
      </c>
      <c r="W378" t="s">
        <v>49</v>
      </c>
      <c r="X378" t="s">
        <v>50</v>
      </c>
      <c r="Z378" t="s">
        <v>666</v>
      </c>
      <c r="AA378">
        <v>43.279780000000002</v>
      </c>
      <c r="AB378">
        <v>-79.893590000000003</v>
      </c>
      <c r="AC378" t="s">
        <v>666</v>
      </c>
      <c r="AD378" t="str">
        <f t="shared" si="5"/>
        <v>A69-9002-1403</v>
      </c>
      <c r="AE378" t="s">
        <v>988</v>
      </c>
      <c r="AF378" t="s">
        <v>989</v>
      </c>
      <c r="AG378" t="s">
        <v>1010</v>
      </c>
      <c r="AH378">
        <v>0.15690000000000001</v>
      </c>
      <c r="AI378">
        <v>-5</v>
      </c>
      <c r="AJ378">
        <v>35532</v>
      </c>
      <c r="AK378">
        <v>130</v>
      </c>
      <c r="AL378">
        <v>270</v>
      </c>
      <c r="AM378">
        <v>730</v>
      </c>
      <c r="AN378" t="s">
        <v>992</v>
      </c>
      <c r="AP378" s="3">
        <f t="shared" si="6"/>
        <v>45765.694444444445</v>
      </c>
    </row>
    <row r="379" spans="6:42" x14ac:dyDescent="0.25">
      <c r="F379" s="8">
        <v>45033.645833333336</v>
      </c>
      <c r="G379" t="s">
        <v>44</v>
      </c>
      <c r="H379" t="s">
        <v>607</v>
      </c>
      <c r="I379" t="s">
        <v>779</v>
      </c>
      <c r="J379">
        <v>1386</v>
      </c>
      <c r="K379" t="s">
        <v>931</v>
      </c>
      <c r="L379">
        <v>1546508</v>
      </c>
      <c r="M379">
        <v>12329</v>
      </c>
      <c r="P379">
        <v>345</v>
      </c>
      <c r="Q379">
        <v>383</v>
      </c>
      <c r="R379">
        <v>1000</v>
      </c>
      <c r="U379" t="s">
        <v>903</v>
      </c>
      <c r="V379" t="s">
        <v>48</v>
      </c>
      <c r="W379" t="s">
        <v>49</v>
      </c>
      <c r="X379" t="s">
        <v>50</v>
      </c>
      <c r="Z379" t="s">
        <v>666</v>
      </c>
      <c r="AA379">
        <v>43.279780000000002</v>
      </c>
      <c r="AB379">
        <v>-79.893590000000003</v>
      </c>
      <c r="AC379" t="s">
        <v>666</v>
      </c>
      <c r="AD379" t="str">
        <f t="shared" si="5"/>
        <v>A69-9002-1386</v>
      </c>
      <c r="AE379" t="s">
        <v>988</v>
      </c>
      <c r="AF379" t="s">
        <v>56</v>
      </c>
      <c r="AG379">
        <v>34</v>
      </c>
      <c r="AH379">
        <v>0.15040000000000001</v>
      </c>
      <c r="AI379">
        <v>-0.6018</v>
      </c>
      <c r="AJ379">
        <v>35532</v>
      </c>
      <c r="AK379">
        <v>130</v>
      </c>
      <c r="AL379">
        <v>270</v>
      </c>
      <c r="AM379">
        <v>730</v>
      </c>
      <c r="AP379" s="3">
        <f t="shared" si="6"/>
        <v>45763.645833333336</v>
      </c>
    </row>
    <row r="380" spans="6:42" hidden="1" x14ac:dyDescent="0.25">
      <c r="F380" s="8">
        <v>45033.645833333336</v>
      </c>
      <c r="G380" t="s">
        <v>44</v>
      </c>
      <c r="H380" t="s">
        <v>553</v>
      </c>
      <c r="I380" t="s">
        <v>554</v>
      </c>
      <c r="J380">
        <v>1388</v>
      </c>
      <c r="K380" t="s">
        <v>931</v>
      </c>
      <c r="L380">
        <v>1546509</v>
      </c>
      <c r="M380">
        <v>12330</v>
      </c>
      <c r="P380">
        <v>311</v>
      </c>
      <c r="Q380">
        <v>345</v>
      </c>
      <c r="R380">
        <v>840</v>
      </c>
      <c r="S380" t="s">
        <v>206</v>
      </c>
      <c r="U380" t="s">
        <v>903</v>
      </c>
      <c r="V380" t="s">
        <v>48</v>
      </c>
      <c r="W380" t="s">
        <v>49</v>
      </c>
      <c r="X380" t="s">
        <v>50</v>
      </c>
      <c r="Z380" t="s">
        <v>666</v>
      </c>
      <c r="AA380">
        <v>43.279780000000002</v>
      </c>
      <c r="AB380">
        <v>-79.893590000000003</v>
      </c>
      <c r="AC380" t="s">
        <v>666</v>
      </c>
      <c r="AD380" t="str">
        <f t="shared" si="5"/>
        <v>A69-9002-1388</v>
      </c>
      <c r="AE380" t="s">
        <v>988</v>
      </c>
      <c r="AF380" t="s">
        <v>56</v>
      </c>
      <c r="AG380">
        <v>34</v>
      </c>
      <c r="AH380">
        <v>0.15040000000000001</v>
      </c>
      <c r="AI380">
        <v>-0.6018</v>
      </c>
      <c r="AJ380">
        <v>35532</v>
      </c>
      <c r="AK380">
        <v>130</v>
      </c>
      <c r="AL380">
        <v>270</v>
      </c>
      <c r="AM380">
        <v>730</v>
      </c>
      <c r="AN380" t="s">
        <v>992</v>
      </c>
      <c r="AP380" s="3">
        <f t="shared" si="6"/>
        <v>45763.645833333336</v>
      </c>
    </row>
    <row r="381" spans="6:42" hidden="1" x14ac:dyDescent="0.25">
      <c r="F381" s="8">
        <v>45033.6875</v>
      </c>
      <c r="G381" t="s">
        <v>44</v>
      </c>
      <c r="H381" t="s">
        <v>553</v>
      </c>
      <c r="I381" t="s">
        <v>554</v>
      </c>
      <c r="J381">
        <v>1384</v>
      </c>
      <c r="K381" t="s">
        <v>931</v>
      </c>
      <c r="L381">
        <v>1546507</v>
      </c>
      <c r="M381">
        <v>11650</v>
      </c>
      <c r="P381">
        <v>329</v>
      </c>
      <c r="Q381">
        <v>365</v>
      </c>
      <c r="R381">
        <v>880</v>
      </c>
      <c r="U381" t="s">
        <v>903</v>
      </c>
      <c r="V381" t="s">
        <v>48</v>
      </c>
      <c r="W381" t="s">
        <v>49</v>
      </c>
      <c r="X381" t="s">
        <v>50</v>
      </c>
      <c r="Z381" t="s">
        <v>666</v>
      </c>
      <c r="AA381">
        <v>43.279780000000002</v>
      </c>
      <c r="AB381">
        <v>-79.893590000000003</v>
      </c>
      <c r="AC381" t="s">
        <v>666</v>
      </c>
      <c r="AD381" t="str">
        <f t="shared" si="5"/>
        <v>A69-9002-1384</v>
      </c>
      <c r="AE381" t="s">
        <v>988</v>
      </c>
      <c r="AF381" t="s">
        <v>56</v>
      </c>
      <c r="AG381">
        <v>34</v>
      </c>
      <c r="AH381">
        <v>0.15040000000000001</v>
      </c>
      <c r="AI381">
        <v>-0.6018</v>
      </c>
      <c r="AJ381">
        <v>35532</v>
      </c>
      <c r="AK381">
        <v>130</v>
      </c>
      <c r="AL381">
        <v>270</v>
      </c>
      <c r="AM381">
        <v>730</v>
      </c>
      <c r="AP381" s="3">
        <f t="shared" si="6"/>
        <v>45763.6875</v>
      </c>
    </row>
    <row r="382" spans="6:42" hidden="1" x14ac:dyDescent="0.25">
      <c r="F382" s="8">
        <v>45033.6875</v>
      </c>
      <c r="G382" t="s">
        <v>44</v>
      </c>
      <c r="H382" t="s">
        <v>553</v>
      </c>
      <c r="I382" t="s">
        <v>554</v>
      </c>
      <c r="J382">
        <v>1390</v>
      </c>
      <c r="K382" t="s">
        <v>931</v>
      </c>
      <c r="L382">
        <v>1546510</v>
      </c>
      <c r="M382">
        <v>11649</v>
      </c>
      <c r="P382">
        <v>253</v>
      </c>
      <c r="Q382">
        <v>281</v>
      </c>
      <c r="R382">
        <v>520</v>
      </c>
      <c r="U382" t="s">
        <v>903</v>
      </c>
      <c r="V382" t="s">
        <v>48</v>
      </c>
      <c r="W382" t="s">
        <v>49</v>
      </c>
      <c r="X382" t="s">
        <v>50</v>
      </c>
      <c r="Z382" t="s">
        <v>666</v>
      </c>
      <c r="AA382">
        <v>43.279780000000002</v>
      </c>
      <c r="AB382">
        <v>-79.893590000000003</v>
      </c>
      <c r="AC382" t="s">
        <v>666</v>
      </c>
      <c r="AD382" t="str">
        <f t="shared" si="5"/>
        <v>A69-9002-1390</v>
      </c>
      <c r="AE382" t="s">
        <v>988</v>
      </c>
      <c r="AF382" t="s">
        <v>56</v>
      </c>
      <c r="AG382">
        <v>34</v>
      </c>
      <c r="AH382">
        <v>0.15040000000000001</v>
      </c>
      <c r="AI382">
        <v>-0.6018</v>
      </c>
      <c r="AJ382">
        <v>35532</v>
      </c>
      <c r="AK382">
        <v>130</v>
      </c>
      <c r="AL382">
        <v>270</v>
      </c>
      <c r="AM382">
        <v>730</v>
      </c>
      <c r="AP382" s="3">
        <f t="shared" si="6"/>
        <v>45763.6875</v>
      </c>
    </row>
    <row r="383" spans="6:42" x14ac:dyDescent="0.25">
      <c r="F383" s="8">
        <v>45033.6875</v>
      </c>
      <c r="G383" t="s">
        <v>44</v>
      </c>
      <c r="H383" t="s">
        <v>607</v>
      </c>
      <c r="I383" t="s">
        <v>779</v>
      </c>
      <c r="J383">
        <v>1392</v>
      </c>
      <c r="K383" t="s">
        <v>931</v>
      </c>
      <c r="L383">
        <v>1546511</v>
      </c>
      <c r="M383">
        <v>11648</v>
      </c>
      <c r="N383" t="s">
        <v>1044</v>
      </c>
      <c r="P383">
        <v>362</v>
      </c>
      <c r="Q383">
        <v>400</v>
      </c>
      <c r="R383">
        <v>1280</v>
      </c>
      <c r="U383" t="s">
        <v>903</v>
      </c>
      <c r="V383" t="s">
        <v>48</v>
      </c>
      <c r="W383" t="s">
        <v>49</v>
      </c>
      <c r="X383" t="s">
        <v>50</v>
      </c>
      <c r="Z383" t="s">
        <v>666</v>
      </c>
      <c r="AA383">
        <v>43.279780000000002</v>
      </c>
      <c r="AB383">
        <v>-79.893590000000003</v>
      </c>
      <c r="AC383" t="s">
        <v>666</v>
      </c>
      <c r="AD383" t="str">
        <f t="shared" si="5"/>
        <v>A69-9002-1392</v>
      </c>
      <c r="AE383" t="s">
        <v>988</v>
      </c>
      <c r="AF383" t="s">
        <v>56</v>
      </c>
      <c r="AG383">
        <v>34</v>
      </c>
      <c r="AH383">
        <v>0.15040000000000001</v>
      </c>
      <c r="AI383">
        <v>-0.6018</v>
      </c>
      <c r="AJ383">
        <v>35532</v>
      </c>
      <c r="AK383">
        <v>130</v>
      </c>
      <c r="AL383">
        <v>270</v>
      </c>
      <c r="AM383">
        <v>730</v>
      </c>
      <c r="AN383" t="s">
        <v>1034</v>
      </c>
      <c r="AO383" t="s">
        <v>1033</v>
      </c>
      <c r="AP383" s="3">
        <f t="shared" si="6"/>
        <v>45763.6875</v>
      </c>
    </row>
    <row r="384" spans="6:42" hidden="1" x14ac:dyDescent="0.25">
      <c r="F384" s="8">
        <v>45033.697916666664</v>
      </c>
      <c r="G384" t="s">
        <v>44</v>
      </c>
      <c r="H384" t="s">
        <v>553</v>
      </c>
      <c r="I384" t="s">
        <v>554</v>
      </c>
      <c r="J384">
        <v>1382</v>
      </c>
      <c r="K384" t="s">
        <v>931</v>
      </c>
      <c r="L384">
        <v>1546506</v>
      </c>
      <c r="M384">
        <v>11646</v>
      </c>
      <c r="P384">
        <v>307</v>
      </c>
      <c r="Q384">
        <v>338</v>
      </c>
      <c r="R384">
        <v>620</v>
      </c>
      <c r="U384" t="s">
        <v>903</v>
      </c>
      <c r="V384" t="s">
        <v>48</v>
      </c>
      <c r="W384" t="s">
        <v>49</v>
      </c>
      <c r="X384" t="s">
        <v>50</v>
      </c>
      <c r="Z384" t="s">
        <v>666</v>
      </c>
      <c r="AA384">
        <v>43.279780000000002</v>
      </c>
      <c r="AB384">
        <v>-79.893590000000003</v>
      </c>
      <c r="AC384" t="s">
        <v>666</v>
      </c>
      <c r="AD384" t="str">
        <f t="shared" si="5"/>
        <v>A69-9002-1382</v>
      </c>
      <c r="AE384" t="s">
        <v>988</v>
      </c>
      <c r="AF384" t="s">
        <v>56</v>
      </c>
      <c r="AG384">
        <v>34</v>
      </c>
      <c r="AH384">
        <v>0.15040000000000001</v>
      </c>
      <c r="AI384">
        <v>-0.6018</v>
      </c>
      <c r="AJ384">
        <v>35532</v>
      </c>
      <c r="AK384">
        <v>130</v>
      </c>
      <c r="AL384">
        <v>270</v>
      </c>
      <c r="AM384">
        <v>730</v>
      </c>
      <c r="AP384" s="3">
        <f t="shared" si="6"/>
        <v>45763.697916666664</v>
      </c>
    </row>
    <row r="385" spans="6:42" x14ac:dyDescent="0.25">
      <c r="F385" s="8">
        <v>45033.697916666664</v>
      </c>
      <c r="G385" t="s">
        <v>44</v>
      </c>
      <c r="H385" t="s">
        <v>607</v>
      </c>
      <c r="I385" t="s">
        <v>779</v>
      </c>
      <c r="J385">
        <v>1380</v>
      </c>
      <c r="K385" t="s">
        <v>931</v>
      </c>
      <c r="L385">
        <v>1546505</v>
      </c>
      <c r="M385">
        <v>11645</v>
      </c>
      <c r="P385">
        <v>361</v>
      </c>
      <c r="Q385">
        <v>391</v>
      </c>
      <c r="R385">
        <v>1120</v>
      </c>
      <c r="U385" t="s">
        <v>903</v>
      </c>
      <c r="V385" t="s">
        <v>48</v>
      </c>
      <c r="W385" t="s">
        <v>49</v>
      </c>
      <c r="X385" t="s">
        <v>50</v>
      </c>
      <c r="Z385" t="s">
        <v>666</v>
      </c>
      <c r="AA385">
        <v>43.279780000000002</v>
      </c>
      <c r="AB385">
        <v>-79.893590000000003</v>
      </c>
      <c r="AC385" t="s">
        <v>666</v>
      </c>
      <c r="AD385" t="str">
        <f t="shared" si="5"/>
        <v>A69-9002-1380</v>
      </c>
      <c r="AE385" t="s">
        <v>988</v>
      </c>
      <c r="AF385" t="s">
        <v>56</v>
      </c>
      <c r="AG385">
        <v>34</v>
      </c>
      <c r="AH385">
        <v>0.15040000000000001</v>
      </c>
      <c r="AI385">
        <v>-0.6018</v>
      </c>
      <c r="AJ385">
        <v>35532</v>
      </c>
      <c r="AK385">
        <v>130</v>
      </c>
      <c r="AL385">
        <v>270</v>
      </c>
      <c r="AM385">
        <v>730</v>
      </c>
      <c r="AP385" s="3">
        <f t="shared" si="6"/>
        <v>45763.697916666664</v>
      </c>
    </row>
    <row r="386" spans="6:42" hidden="1" x14ac:dyDescent="0.25">
      <c r="F386" s="8">
        <v>45033.697916666664</v>
      </c>
      <c r="G386" t="s">
        <v>44</v>
      </c>
      <c r="H386" t="s">
        <v>553</v>
      </c>
      <c r="I386" t="s">
        <v>554</v>
      </c>
      <c r="J386">
        <v>1394</v>
      </c>
      <c r="K386" t="s">
        <v>931</v>
      </c>
      <c r="L386">
        <v>1546512</v>
      </c>
      <c r="M386">
        <v>11644</v>
      </c>
      <c r="P386">
        <v>319</v>
      </c>
      <c r="Q386">
        <v>354</v>
      </c>
      <c r="R386">
        <v>900</v>
      </c>
      <c r="U386" t="s">
        <v>903</v>
      </c>
      <c r="V386" t="s">
        <v>48</v>
      </c>
      <c r="W386" t="s">
        <v>49</v>
      </c>
      <c r="X386" t="s">
        <v>50</v>
      </c>
      <c r="Z386" t="s">
        <v>666</v>
      </c>
      <c r="AA386">
        <v>43.279780000000002</v>
      </c>
      <c r="AB386">
        <v>-79.893590000000003</v>
      </c>
      <c r="AC386" t="s">
        <v>666</v>
      </c>
      <c r="AD386" t="str">
        <f t="shared" si="5"/>
        <v>A69-9002-1394</v>
      </c>
      <c r="AE386" t="s">
        <v>988</v>
      </c>
      <c r="AF386" t="s">
        <v>56</v>
      </c>
      <c r="AG386">
        <v>34</v>
      </c>
      <c r="AH386">
        <v>0.15040000000000001</v>
      </c>
      <c r="AI386">
        <v>-0.6018</v>
      </c>
      <c r="AJ386">
        <v>35532</v>
      </c>
      <c r="AK386">
        <v>130</v>
      </c>
      <c r="AL386">
        <v>270</v>
      </c>
      <c r="AM386">
        <v>730</v>
      </c>
      <c r="AN386" t="s">
        <v>992</v>
      </c>
      <c r="AP386" s="3">
        <f t="shared" si="6"/>
        <v>45763.697916666664</v>
      </c>
    </row>
    <row r="387" spans="6:42" hidden="1" x14ac:dyDescent="0.25">
      <c r="F387" s="8">
        <v>45033.715277777781</v>
      </c>
      <c r="G387" t="s">
        <v>44</v>
      </c>
      <c r="H387" t="s">
        <v>553</v>
      </c>
      <c r="I387" t="s">
        <v>554</v>
      </c>
      <c r="J387">
        <v>1396</v>
      </c>
      <c r="K387" t="s">
        <v>931</v>
      </c>
      <c r="L387">
        <v>1546513</v>
      </c>
      <c r="M387">
        <v>11643</v>
      </c>
      <c r="P387">
        <v>285</v>
      </c>
      <c r="Q387">
        <v>323</v>
      </c>
      <c r="R387">
        <v>660</v>
      </c>
      <c r="U387" t="s">
        <v>903</v>
      </c>
      <c r="V387" t="s">
        <v>48</v>
      </c>
      <c r="W387" t="s">
        <v>49</v>
      </c>
      <c r="X387" t="s">
        <v>50</v>
      </c>
      <c r="Z387" t="s">
        <v>666</v>
      </c>
      <c r="AA387">
        <v>43.279780000000002</v>
      </c>
      <c r="AB387">
        <v>-79.893590000000003</v>
      </c>
      <c r="AC387" t="s">
        <v>666</v>
      </c>
      <c r="AD387" t="str">
        <f t="shared" si="5"/>
        <v>A69-9002-1396</v>
      </c>
      <c r="AE387" t="s">
        <v>988</v>
      </c>
      <c r="AF387" t="s">
        <v>56</v>
      </c>
      <c r="AG387">
        <v>34</v>
      </c>
      <c r="AH387">
        <v>0.15040000000000001</v>
      </c>
      <c r="AI387">
        <v>-0.6018</v>
      </c>
      <c r="AJ387">
        <v>35532</v>
      </c>
      <c r="AK387">
        <v>130</v>
      </c>
      <c r="AL387">
        <v>270</v>
      </c>
      <c r="AM387">
        <v>730</v>
      </c>
      <c r="AN387" t="s">
        <v>954</v>
      </c>
      <c r="AP387" s="3">
        <f t="shared" si="6"/>
        <v>45763.715277777781</v>
      </c>
    </row>
    <row r="388" spans="6:42" x14ac:dyDescent="0.25">
      <c r="F388" s="8">
        <v>45034.625</v>
      </c>
      <c r="G388" t="s">
        <v>44</v>
      </c>
      <c r="H388" t="s">
        <v>607</v>
      </c>
      <c r="I388" t="s">
        <v>779</v>
      </c>
      <c r="J388">
        <v>1378</v>
      </c>
      <c r="K388" t="s">
        <v>931</v>
      </c>
      <c r="L388">
        <v>1546504</v>
      </c>
      <c r="M388">
        <v>11642</v>
      </c>
      <c r="P388">
        <v>334</v>
      </c>
      <c r="Q388">
        <v>370</v>
      </c>
      <c r="R388">
        <v>1000</v>
      </c>
      <c r="U388" t="s">
        <v>903</v>
      </c>
      <c r="V388" t="s">
        <v>48</v>
      </c>
      <c r="W388" t="s">
        <v>49</v>
      </c>
      <c r="X388" t="s">
        <v>50</v>
      </c>
      <c r="Z388" t="s">
        <v>666</v>
      </c>
      <c r="AA388">
        <v>43.279780000000002</v>
      </c>
      <c r="AB388">
        <v>-79.893590000000003</v>
      </c>
      <c r="AC388" t="s">
        <v>666</v>
      </c>
      <c r="AD388" t="str">
        <f t="shared" si="5"/>
        <v>A69-9002-1378</v>
      </c>
      <c r="AE388" t="s">
        <v>988</v>
      </c>
      <c r="AF388" t="s">
        <v>56</v>
      </c>
      <c r="AG388">
        <v>34</v>
      </c>
      <c r="AH388">
        <v>0.15040000000000001</v>
      </c>
      <c r="AI388">
        <v>-0.6018</v>
      </c>
      <c r="AJ388">
        <v>35532</v>
      </c>
      <c r="AK388">
        <v>130</v>
      </c>
      <c r="AL388">
        <v>270</v>
      </c>
      <c r="AM388">
        <v>730</v>
      </c>
      <c r="AP388" s="3">
        <f t="shared" si="6"/>
        <v>45764.625</v>
      </c>
    </row>
    <row r="389" spans="6:42" x14ac:dyDescent="0.25">
      <c r="F389" s="8">
        <v>45034.625</v>
      </c>
      <c r="G389" t="s">
        <v>44</v>
      </c>
      <c r="H389" t="s">
        <v>607</v>
      </c>
      <c r="I389" t="s">
        <v>779</v>
      </c>
      <c r="J389">
        <v>1374</v>
      </c>
      <c r="K389" t="s">
        <v>931</v>
      </c>
      <c r="L389">
        <v>1546502</v>
      </c>
      <c r="M389">
        <v>11641</v>
      </c>
      <c r="P389">
        <v>330</v>
      </c>
      <c r="Q389">
        <v>368</v>
      </c>
      <c r="R389">
        <v>1000</v>
      </c>
      <c r="U389" t="s">
        <v>903</v>
      </c>
      <c r="V389" t="s">
        <v>48</v>
      </c>
      <c r="W389" t="s">
        <v>49</v>
      </c>
      <c r="X389" t="s">
        <v>50</v>
      </c>
      <c r="Z389" t="s">
        <v>666</v>
      </c>
      <c r="AA389">
        <v>43.279780000000002</v>
      </c>
      <c r="AB389">
        <v>-79.893590000000003</v>
      </c>
      <c r="AC389" t="s">
        <v>666</v>
      </c>
      <c r="AD389" t="str">
        <f t="shared" si="5"/>
        <v>A69-9002-1374</v>
      </c>
      <c r="AE389" t="s">
        <v>988</v>
      </c>
      <c r="AF389" t="s">
        <v>56</v>
      </c>
      <c r="AG389">
        <v>34</v>
      </c>
      <c r="AH389">
        <v>0.15040000000000001</v>
      </c>
      <c r="AI389">
        <v>-0.6018</v>
      </c>
      <c r="AJ389">
        <v>35532</v>
      </c>
      <c r="AK389">
        <v>130</v>
      </c>
      <c r="AL389">
        <v>270</v>
      </c>
      <c r="AM389">
        <v>730</v>
      </c>
      <c r="AP389" s="3">
        <f t="shared" si="6"/>
        <v>45764.625</v>
      </c>
    </row>
    <row r="390" spans="6:42" hidden="1" x14ac:dyDescent="0.25">
      <c r="F390" s="8">
        <v>45034.645833333336</v>
      </c>
      <c r="G390" t="s">
        <v>44</v>
      </c>
      <c r="H390" t="s">
        <v>553</v>
      </c>
      <c r="I390" t="s">
        <v>554</v>
      </c>
      <c r="J390">
        <v>1376</v>
      </c>
      <c r="K390" t="s">
        <v>931</v>
      </c>
      <c r="L390">
        <v>1546503</v>
      </c>
      <c r="M390">
        <v>11640</v>
      </c>
      <c r="P390">
        <v>276</v>
      </c>
      <c r="Q390">
        <v>312</v>
      </c>
      <c r="R390">
        <v>600</v>
      </c>
      <c r="U390" t="s">
        <v>903</v>
      </c>
      <c r="V390" t="s">
        <v>48</v>
      </c>
      <c r="W390" t="s">
        <v>49</v>
      </c>
      <c r="X390" t="s">
        <v>50</v>
      </c>
      <c r="Z390" t="s">
        <v>666</v>
      </c>
      <c r="AA390">
        <v>43.279780000000002</v>
      </c>
      <c r="AB390">
        <v>-79.893590000000003</v>
      </c>
      <c r="AC390" t="s">
        <v>666</v>
      </c>
      <c r="AD390" t="str">
        <f t="shared" si="5"/>
        <v>A69-9002-1376</v>
      </c>
      <c r="AE390" t="s">
        <v>988</v>
      </c>
      <c r="AF390" t="s">
        <v>56</v>
      </c>
      <c r="AG390">
        <v>34</v>
      </c>
      <c r="AH390">
        <v>0.15040000000000001</v>
      </c>
      <c r="AI390">
        <v>-0.6018</v>
      </c>
      <c r="AJ390">
        <v>35532</v>
      </c>
      <c r="AK390">
        <v>130</v>
      </c>
      <c r="AL390">
        <v>270</v>
      </c>
      <c r="AM390">
        <v>730</v>
      </c>
      <c r="AN390" t="s">
        <v>992</v>
      </c>
      <c r="AP390" s="3">
        <f t="shared" si="6"/>
        <v>45764.645833333336</v>
      </c>
    </row>
    <row r="391" spans="6:42" x14ac:dyDescent="0.25">
      <c r="F391" s="8">
        <v>45034.645833333336</v>
      </c>
      <c r="G391" t="s">
        <v>44</v>
      </c>
      <c r="H391" t="s">
        <v>607</v>
      </c>
      <c r="I391" t="s">
        <v>779</v>
      </c>
      <c r="J391">
        <v>1398</v>
      </c>
      <c r="K391" t="s">
        <v>931</v>
      </c>
      <c r="L391">
        <v>1546514</v>
      </c>
      <c r="M391">
        <v>11639</v>
      </c>
      <c r="P391">
        <v>368</v>
      </c>
      <c r="Q391">
        <v>409</v>
      </c>
      <c r="R391">
        <v>1420</v>
      </c>
      <c r="U391" t="s">
        <v>903</v>
      </c>
      <c r="V391" t="s">
        <v>48</v>
      </c>
      <c r="W391" t="s">
        <v>49</v>
      </c>
      <c r="X391" t="s">
        <v>50</v>
      </c>
      <c r="Z391" t="s">
        <v>666</v>
      </c>
      <c r="AA391">
        <v>43.279780000000002</v>
      </c>
      <c r="AB391">
        <v>-79.893590000000003</v>
      </c>
      <c r="AC391" t="s">
        <v>666</v>
      </c>
      <c r="AD391" t="str">
        <f t="shared" si="5"/>
        <v>A69-9002-1398</v>
      </c>
      <c r="AE391" t="s">
        <v>988</v>
      </c>
      <c r="AF391" t="s">
        <v>56</v>
      </c>
      <c r="AG391">
        <v>34</v>
      </c>
      <c r="AH391">
        <v>0.15040000000000001</v>
      </c>
      <c r="AI391">
        <v>-0.6018</v>
      </c>
      <c r="AJ391">
        <v>35532</v>
      </c>
      <c r="AK391">
        <v>130</v>
      </c>
      <c r="AL391">
        <v>270</v>
      </c>
      <c r="AM391">
        <v>730</v>
      </c>
      <c r="AP391" s="3">
        <f t="shared" si="6"/>
        <v>45764.645833333336</v>
      </c>
    </row>
    <row r="392" spans="6:42" x14ac:dyDescent="0.25">
      <c r="F392" s="8">
        <v>45034.645833333336</v>
      </c>
      <c r="G392" t="s">
        <v>44</v>
      </c>
      <c r="H392" t="s">
        <v>607</v>
      </c>
      <c r="I392" t="s">
        <v>779</v>
      </c>
      <c r="J392">
        <v>1372</v>
      </c>
      <c r="K392" t="s">
        <v>931</v>
      </c>
      <c r="L392">
        <v>1546501</v>
      </c>
      <c r="M392">
        <v>11638</v>
      </c>
      <c r="P392">
        <v>341</v>
      </c>
      <c r="Q392">
        <v>382</v>
      </c>
      <c r="R392">
        <v>1060</v>
      </c>
      <c r="U392" t="s">
        <v>903</v>
      </c>
      <c r="V392" t="s">
        <v>48</v>
      </c>
      <c r="W392" t="s">
        <v>49</v>
      </c>
      <c r="X392" t="s">
        <v>50</v>
      </c>
      <c r="Z392" t="s">
        <v>666</v>
      </c>
      <c r="AA392">
        <v>43.279780000000002</v>
      </c>
      <c r="AB392">
        <v>-79.893590000000003</v>
      </c>
      <c r="AC392" t="s">
        <v>666</v>
      </c>
      <c r="AD392" t="str">
        <f t="shared" si="5"/>
        <v>A69-9002-1372</v>
      </c>
      <c r="AE392" t="s">
        <v>988</v>
      </c>
      <c r="AF392" t="s">
        <v>56</v>
      </c>
      <c r="AG392">
        <v>34</v>
      </c>
      <c r="AH392">
        <v>0.15040000000000001</v>
      </c>
      <c r="AI392">
        <v>-0.6018</v>
      </c>
      <c r="AJ392">
        <v>35532</v>
      </c>
      <c r="AK392">
        <v>130</v>
      </c>
      <c r="AL392">
        <v>270</v>
      </c>
      <c r="AM392">
        <v>730</v>
      </c>
      <c r="AP392" s="3">
        <f t="shared" si="6"/>
        <v>45764.645833333336</v>
      </c>
    </row>
    <row r="393" spans="6:42" hidden="1" x14ac:dyDescent="0.25">
      <c r="F393" s="8">
        <v>45034.694444444445</v>
      </c>
      <c r="G393" t="s">
        <v>44</v>
      </c>
      <c r="H393" t="s">
        <v>553</v>
      </c>
      <c r="I393" t="s">
        <v>554</v>
      </c>
      <c r="J393">
        <v>1400</v>
      </c>
      <c r="K393" t="s">
        <v>931</v>
      </c>
      <c r="L393">
        <v>1546515</v>
      </c>
      <c r="M393">
        <v>11637</v>
      </c>
      <c r="P393">
        <v>270</v>
      </c>
      <c r="Q393">
        <v>301</v>
      </c>
      <c r="R393">
        <v>580</v>
      </c>
      <c r="U393" t="s">
        <v>903</v>
      </c>
      <c r="V393" t="s">
        <v>48</v>
      </c>
      <c r="W393" t="s">
        <v>49</v>
      </c>
      <c r="X393" t="s">
        <v>50</v>
      </c>
      <c r="Z393" t="s">
        <v>666</v>
      </c>
      <c r="AA393">
        <v>43.279780000000002</v>
      </c>
      <c r="AB393">
        <v>-79.893590000000003</v>
      </c>
      <c r="AC393" t="s">
        <v>666</v>
      </c>
      <c r="AD393" t="str">
        <f t="shared" si="5"/>
        <v>A69-9002-1400</v>
      </c>
      <c r="AE393" t="s">
        <v>988</v>
      </c>
      <c r="AF393" t="s">
        <v>56</v>
      </c>
      <c r="AG393">
        <v>34</v>
      </c>
      <c r="AH393">
        <v>0.15040000000000001</v>
      </c>
      <c r="AI393">
        <v>-0.6018</v>
      </c>
      <c r="AJ393">
        <v>35532</v>
      </c>
      <c r="AK393">
        <v>130</v>
      </c>
      <c r="AL393">
        <v>270</v>
      </c>
      <c r="AM393">
        <v>730</v>
      </c>
      <c r="AN393" t="s">
        <v>992</v>
      </c>
      <c r="AP393" s="3">
        <f t="shared" si="6"/>
        <v>45764.694444444445</v>
      </c>
    </row>
    <row r="394" spans="6:42" x14ac:dyDescent="0.25">
      <c r="F394" s="8">
        <v>45034.694444444445</v>
      </c>
      <c r="G394" t="s">
        <v>44</v>
      </c>
      <c r="H394" t="s">
        <v>607</v>
      </c>
      <c r="I394" t="s">
        <v>779</v>
      </c>
      <c r="J394">
        <v>1370</v>
      </c>
      <c r="K394" t="s">
        <v>931</v>
      </c>
      <c r="L394">
        <v>1546500</v>
      </c>
      <c r="M394">
        <v>11636</v>
      </c>
      <c r="P394">
        <v>347</v>
      </c>
      <c r="Q394">
        <v>388</v>
      </c>
      <c r="R394">
        <v>1040</v>
      </c>
      <c r="U394" t="s">
        <v>903</v>
      </c>
      <c r="V394" t="s">
        <v>48</v>
      </c>
      <c r="W394" t="s">
        <v>49</v>
      </c>
      <c r="X394" t="s">
        <v>50</v>
      </c>
      <c r="Z394" t="s">
        <v>666</v>
      </c>
      <c r="AA394">
        <v>43.279780000000002</v>
      </c>
      <c r="AB394">
        <v>-79.893590000000003</v>
      </c>
      <c r="AC394" t="s">
        <v>666</v>
      </c>
      <c r="AD394" t="str">
        <f t="shared" si="5"/>
        <v>A69-9002-1370</v>
      </c>
      <c r="AE394" t="s">
        <v>988</v>
      </c>
      <c r="AF394" t="s">
        <v>56</v>
      </c>
      <c r="AG394">
        <v>34</v>
      </c>
      <c r="AH394">
        <v>0.15040000000000001</v>
      </c>
      <c r="AI394">
        <v>-0.6018</v>
      </c>
      <c r="AJ394">
        <v>35532</v>
      </c>
      <c r="AK394">
        <v>130</v>
      </c>
      <c r="AL394">
        <v>270</v>
      </c>
      <c r="AM394">
        <v>730</v>
      </c>
      <c r="AP394" s="3">
        <f t="shared" si="6"/>
        <v>45764.694444444445</v>
      </c>
    </row>
    <row r="395" spans="6:42" x14ac:dyDescent="0.25">
      <c r="F395" s="8">
        <v>45034.694444444445</v>
      </c>
      <c r="G395" t="s">
        <v>44</v>
      </c>
      <c r="H395" t="s">
        <v>607</v>
      </c>
      <c r="I395" t="s">
        <v>779</v>
      </c>
      <c r="J395">
        <v>1368</v>
      </c>
      <c r="K395" t="s">
        <v>931</v>
      </c>
      <c r="L395">
        <v>1546499</v>
      </c>
      <c r="M395">
        <v>11635</v>
      </c>
      <c r="P395">
        <v>342</v>
      </c>
      <c r="Q395">
        <v>376</v>
      </c>
      <c r="R395">
        <v>960</v>
      </c>
      <c r="U395" t="s">
        <v>903</v>
      </c>
      <c r="V395" t="s">
        <v>48</v>
      </c>
      <c r="W395" t="s">
        <v>49</v>
      </c>
      <c r="X395" t="s">
        <v>50</v>
      </c>
      <c r="Z395" t="s">
        <v>666</v>
      </c>
      <c r="AA395">
        <v>43.279780000000002</v>
      </c>
      <c r="AB395">
        <v>-79.893590000000003</v>
      </c>
      <c r="AC395" t="s">
        <v>666</v>
      </c>
      <c r="AD395" t="str">
        <f t="shared" si="5"/>
        <v>A69-9002-1368</v>
      </c>
      <c r="AE395" t="s">
        <v>988</v>
      </c>
      <c r="AF395" t="s">
        <v>56</v>
      </c>
      <c r="AG395">
        <v>34</v>
      </c>
      <c r="AH395">
        <v>0.15040000000000001</v>
      </c>
      <c r="AI395">
        <v>-0.6018</v>
      </c>
      <c r="AJ395">
        <v>35532</v>
      </c>
      <c r="AK395">
        <v>130</v>
      </c>
      <c r="AL395">
        <v>270</v>
      </c>
      <c r="AM395">
        <v>730</v>
      </c>
      <c r="AP395" s="3">
        <f t="shared" si="6"/>
        <v>45764.694444444445</v>
      </c>
    </row>
    <row r="396" spans="6:42" hidden="1" x14ac:dyDescent="0.25">
      <c r="F396" s="8">
        <v>45034.694444444445</v>
      </c>
      <c r="G396" t="s">
        <v>44</v>
      </c>
      <c r="H396" t="s">
        <v>553</v>
      </c>
      <c r="I396" t="s">
        <v>554</v>
      </c>
      <c r="J396">
        <v>1402</v>
      </c>
      <c r="K396" t="s">
        <v>931</v>
      </c>
      <c r="L396">
        <v>1546516</v>
      </c>
      <c r="M396">
        <v>11634</v>
      </c>
      <c r="P396">
        <v>283</v>
      </c>
      <c r="Q396">
        <v>315</v>
      </c>
      <c r="R396">
        <v>680</v>
      </c>
      <c r="U396" t="s">
        <v>903</v>
      </c>
      <c r="V396" t="s">
        <v>48</v>
      </c>
      <c r="W396" t="s">
        <v>49</v>
      </c>
      <c r="X396" t="s">
        <v>50</v>
      </c>
      <c r="Z396" t="s">
        <v>666</v>
      </c>
      <c r="AA396">
        <v>43.279780000000002</v>
      </c>
      <c r="AB396">
        <v>-79.893590000000003</v>
      </c>
      <c r="AC396" t="s">
        <v>666</v>
      </c>
      <c r="AD396" t="str">
        <f t="shared" si="5"/>
        <v>A69-9002-1402</v>
      </c>
      <c r="AE396" t="s">
        <v>988</v>
      </c>
      <c r="AF396" t="s">
        <v>56</v>
      </c>
      <c r="AG396">
        <v>34</v>
      </c>
      <c r="AH396">
        <v>0.15040000000000001</v>
      </c>
      <c r="AI396">
        <v>-0.6018</v>
      </c>
      <c r="AJ396">
        <v>35532</v>
      </c>
      <c r="AK396">
        <v>130</v>
      </c>
      <c r="AL396">
        <v>270</v>
      </c>
      <c r="AM396">
        <v>730</v>
      </c>
      <c r="AN396" t="s">
        <v>992</v>
      </c>
      <c r="AP396" s="3">
        <f t="shared" si="6"/>
        <v>45764.694444444445</v>
      </c>
    </row>
    <row r="397" spans="6:42" x14ac:dyDescent="0.25">
      <c r="F397" s="8">
        <v>45034.645833333336</v>
      </c>
      <c r="G397" t="s">
        <v>44</v>
      </c>
      <c r="H397" t="s">
        <v>607</v>
      </c>
      <c r="I397" t="s">
        <v>779</v>
      </c>
      <c r="J397">
        <v>1366</v>
      </c>
      <c r="K397" t="s">
        <v>931</v>
      </c>
      <c r="L397">
        <v>1546498</v>
      </c>
      <c r="M397">
        <v>11633</v>
      </c>
      <c r="P397">
        <v>330</v>
      </c>
      <c r="Q397">
        <v>366</v>
      </c>
      <c r="R397">
        <v>1000</v>
      </c>
      <c r="U397" t="s">
        <v>903</v>
      </c>
      <c r="V397" t="s">
        <v>48</v>
      </c>
      <c r="W397" t="s">
        <v>49</v>
      </c>
      <c r="X397" t="s">
        <v>50</v>
      </c>
      <c r="Z397" t="s">
        <v>666</v>
      </c>
      <c r="AA397">
        <v>43.279780000000002</v>
      </c>
      <c r="AB397">
        <v>-79.893590000000003</v>
      </c>
      <c r="AC397" t="s">
        <v>666</v>
      </c>
      <c r="AD397" t="str">
        <f t="shared" si="5"/>
        <v>A69-9002-1366</v>
      </c>
      <c r="AE397" t="s">
        <v>988</v>
      </c>
      <c r="AF397" t="s">
        <v>56</v>
      </c>
      <c r="AG397">
        <v>34</v>
      </c>
      <c r="AH397">
        <v>0.15040000000000001</v>
      </c>
      <c r="AI397">
        <v>-0.6018</v>
      </c>
      <c r="AJ397">
        <v>35532</v>
      </c>
      <c r="AK397">
        <v>130</v>
      </c>
      <c r="AL397">
        <v>270</v>
      </c>
      <c r="AM397">
        <v>730</v>
      </c>
      <c r="AP397" s="3">
        <f t="shared" si="6"/>
        <v>45764.645833333336</v>
      </c>
    </row>
    <row r="398" spans="6:42" hidden="1" x14ac:dyDescent="0.25">
      <c r="F398" s="8">
        <v>45035.694444444445</v>
      </c>
      <c r="G398" t="s">
        <v>44</v>
      </c>
      <c r="H398" t="s">
        <v>553</v>
      </c>
      <c r="I398" t="s">
        <v>554</v>
      </c>
      <c r="J398">
        <v>1404</v>
      </c>
      <c r="K398" t="s">
        <v>931</v>
      </c>
      <c r="L398">
        <v>1546517</v>
      </c>
      <c r="M398">
        <v>11631</v>
      </c>
      <c r="P398">
        <v>267</v>
      </c>
      <c r="Q398">
        <v>295</v>
      </c>
      <c r="R398">
        <v>500</v>
      </c>
      <c r="U398" t="s">
        <v>903</v>
      </c>
      <c r="V398" t="s">
        <v>48</v>
      </c>
      <c r="W398" t="s">
        <v>49</v>
      </c>
      <c r="X398" t="s">
        <v>50</v>
      </c>
      <c r="Z398" t="s">
        <v>666</v>
      </c>
      <c r="AA398">
        <v>43.279780000000002</v>
      </c>
      <c r="AB398">
        <v>-79.893590000000003</v>
      </c>
      <c r="AC398" t="s">
        <v>666</v>
      </c>
      <c r="AD398" t="str">
        <f t="shared" si="5"/>
        <v>A69-9002-1404</v>
      </c>
      <c r="AE398" t="s">
        <v>988</v>
      </c>
      <c r="AF398" t="s">
        <v>56</v>
      </c>
      <c r="AG398">
        <v>34</v>
      </c>
      <c r="AH398">
        <v>0.15040000000000001</v>
      </c>
      <c r="AI398">
        <v>-0.6018</v>
      </c>
      <c r="AJ398">
        <v>35532</v>
      </c>
      <c r="AK398">
        <v>130</v>
      </c>
      <c r="AL398">
        <v>270</v>
      </c>
      <c r="AM398">
        <v>730</v>
      </c>
      <c r="AN398" t="s">
        <v>992</v>
      </c>
      <c r="AP398" s="3">
        <f t="shared" si="6"/>
        <v>45765.694444444445</v>
      </c>
    </row>
    <row r="399" spans="6:42" x14ac:dyDescent="0.25">
      <c r="F399" s="9">
        <v>45411</v>
      </c>
      <c r="G399" t="s">
        <v>1011</v>
      </c>
      <c r="H399" t="s">
        <v>607</v>
      </c>
      <c r="I399" t="s">
        <v>779</v>
      </c>
      <c r="J399">
        <v>507</v>
      </c>
      <c r="K399" t="s">
        <v>53</v>
      </c>
      <c r="L399">
        <v>1585952</v>
      </c>
      <c r="N399" t="s">
        <v>1012</v>
      </c>
      <c r="P399">
        <v>137</v>
      </c>
      <c r="Q399">
        <v>151</v>
      </c>
      <c r="R399">
        <v>1000</v>
      </c>
      <c r="T399" s="4">
        <v>0.33333333333333331</v>
      </c>
      <c r="U399" t="s">
        <v>1013</v>
      </c>
      <c r="V399" t="s">
        <v>48</v>
      </c>
      <c r="W399" t="s">
        <v>49</v>
      </c>
      <c r="X399" t="s">
        <v>50</v>
      </c>
      <c r="Z399" t="s">
        <v>666</v>
      </c>
      <c r="AA399">
        <v>43.279780000000002</v>
      </c>
      <c r="AB399">
        <v>-79.893590000000003</v>
      </c>
      <c r="AC399" t="s">
        <v>666</v>
      </c>
      <c r="AD399" t="str">
        <f t="shared" si="5"/>
        <v>A69-9004-507</v>
      </c>
      <c r="AE399" t="s">
        <v>988</v>
      </c>
      <c r="AF399" t="s">
        <v>56</v>
      </c>
      <c r="AG399">
        <v>34</v>
      </c>
      <c r="AH399">
        <v>0.15040000000000001</v>
      </c>
      <c r="AI399">
        <v>-0.6018</v>
      </c>
      <c r="AJ399">
        <v>35532</v>
      </c>
      <c r="AK399">
        <v>130</v>
      </c>
      <c r="AL399">
        <v>270</v>
      </c>
      <c r="AM399">
        <v>730</v>
      </c>
      <c r="AN399" t="s">
        <v>1014</v>
      </c>
      <c r="AP399" s="9">
        <v>46140</v>
      </c>
    </row>
    <row r="400" spans="6:42" x14ac:dyDescent="0.25">
      <c r="F400" s="9">
        <v>45411</v>
      </c>
      <c r="G400" t="s">
        <v>1011</v>
      </c>
      <c r="H400" t="s">
        <v>607</v>
      </c>
      <c r="I400" t="s">
        <v>779</v>
      </c>
      <c r="J400">
        <v>500</v>
      </c>
      <c r="K400" t="s">
        <v>53</v>
      </c>
      <c r="L400">
        <v>1585945</v>
      </c>
      <c r="N400" t="s">
        <v>1016</v>
      </c>
      <c r="P400">
        <v>127</v>
      </c>
      <c r="Q400">
        <v>143</v>
      </c>
      <c r="R400">
        <v>1060</v>
      </c>
      <c r="T400" s="4">
        <v>0.33333333333333331</v>
      </c>
      <c r="U400" t="s">
        <v>1013</v>
      </c>
      <c r="V400" t="s">
        <v>48</v>
      </c>
      <c r="W400" t="s">
        <v>49</v>
      </c>
      <c r="X400" t="s">
        <v>50</v>
      </c>
      <c r="Z400" t="s">
        <v>666</v>
      </c>
      <c r="AA400">
        <v>43.279780000000002</v>
      </c>
      <c r="AB400">
        <v>-79.893590000000003</v>
      </c>
      <c r="AC400" t="s">
        <v>666</v>
      </c>
      <c r="AE400" t="s">
        <v>988</v>
      </c>
      <c r="AF400" t="s">
        <v>56</v>
      </c>
      <c r="AG400">
        <v>34</v>
      </c>
      <c r="AH400">
        <v>0.15040000000000001</v>
      </c>
      <c r="AI400">
        <v>-0.6018</v>
      </c>
      <c r="AJ400">
        <v>35532</v>
      </c>
      <c r="AK400">
        <v>130</v>
      </c>
      <c r="AL400">
        <v>270</v>
      </c>
      <c r="AM400">
        <v>730</v>
      </c>
      <c r="AN400" t="s">
        <v>1017</v>
      </c>
      <c r="AP400" s="9">
        <v>46140</v>
      </c>
    </row>
    <row r="401" spans="6:42" x14ac:dyDescent="0.25">
      <c r="F401" s="9">
        <v>45411</v>
      </c>
      <c r="G401" t="s">
        <v>1011</v>
      </c>
      <c r="H401" t="s">
        <v>607</v>
      </c>
      <c r="I401" t="s">
        <v>779</v>
      </c>
      <c r="J401">
        <v>506</v>
      </c>
      <c r="K401" t="s">
        <v>53</v>
      </c>
      <c r="L401">
        <v>1585951</v>
      </c>
      <c r="N401" t="s">
        <v>1019</v>
      </c>
      <c r="P401">
        <v>147</v>
      </c>
      <c r="Q401">
        <v>166</v>
      </c>
      <c r="R401">
        <v>1290</v>
      </c>
      <c r="T401" s="4">
        <v>0.2986111111111111</v>
      </c>
      <c r="U401" t="s">
        <v>1013</v>
      </c>
      <c r="V401" t="s">
        <v>48</v>
      </c>
      <c r="W401" t="s">
        <v>49</v>
      </c>
      <c r="X401" t="s">
        <v>50</v>
      </c>
      <c r="Z401" t="s">
        <v>666</v>
      </c>
      <c r="AA401">
        <v>43.279780000000002</v>
      </c>
      <c r="AB401">
        <v>-79.893590000000003</v>
      </c>
      <c r="AC401" t="s">
        <v>666</v>
      </c>
      <c r="AE401" t="s">
        <v>988</v>
      </c>
      <c r="AF401" t="s">
        <v>56</v>
      </c>
      <c r="AG401">
        <v>34</v>
      </c>
      <c r="AH401">
        <v>0.15040000000000001</v>
      </c>
      <c r="AI401">
        <v>-0.6018</v>
      </c>
      <c r="AJ401">
        <v>35532</v>
      </c>
      <c r="AK401">
        <v>130</v>
      </c>
      <c r="AL401">
        <v>270</v>
      </c>
      <c r="AM401">
        <v>730</v>
      </c>
      <c r="AN401" t="s">
        <v>1018</v>
      </c>
      <c r="AP401" s="9">
        <v>46140</v>
      </c>
    </row>
    <row r="402" spans="6:42" x14ac:dyDescent="0.25">
      <c r="F402" s="9">
        <v>45399</v>
      </c>
      <c r="G402" t="s">
        <v>1011</v>
      </c>
      <c r="H402" t="s">
        <v>607</v>
      </c>
      <c r="I402" t="s">
        <v>779</v>
      </c>
      <c r="J402">
        <v>516</v>
      </c>
      <c r="K402" t="s">
        <v>53</v>
      </c>
      <c r="L402">
        <v>1585961</v>
      </c>
      <c r="N402" t="s">
        <v>1035</v>
      </c>
      <c r="P402">
        <v>333</v>
      </c>
      <c r="R402">
        <v>960</v>
      </c>
      <c r="U402" t="s">
        <v>1045</v>
      </c>
      <c r="V402" t="s">
        <v>48</v>
      </c>
      <c r="W402" t="s">
        <v>49</v>
      </c>
      <c r="X402" t="s">
        <v>50</v>
      </c>
      <c r="Z402" t="s">
        <v>666</v>
      </c>
      <c r="AA402">
        <v>43.279780000000002</v>
      </c>
      <c r="AB402">
        <v>-79.893590000000003</v>
      </c>
      <c r="AC402" t="s">
        <v>666</v>
      </c>
      <c r="AE402" t="s">
        <v>988</v>
      </c>
      <c r="AF402" t="s">
        <v>56</v>
      </c>
      <c r="AG402">
        <v>34</v>
      </c>
      <c r="AH402">
        <v>0.15040000000000001</v>
      </c>
      <c r="AI402">
        <v>-0.6018</v>
      </c>
      <c r="AJ402">
        <v>35532</v>
      </c>
      <c r="AK402">
        <v>130</v>
      </c>
      <c r="AL402">
        <v>270</v>
      </c>
      <c r="AM402">
        <v>730</v>
      </c>
      <c r="AN402" t="s">
        <v>1046</v>
      </c>
      <c r="AP402" s="9">
        <v>46128</v>
      </c>
    </row>
    <row r="403" spans="6:42" x14ac:dyDescent="0.25">
      <c r="F403" s="9">
        <v>45399</v>
      </c>
      <c r="G403" t="s">
        <v>1011</v>
      </c>
      <c r="H403" t="s">
        <v>607</v>
      </c>
      <c r="I403" t="s">
        <v>779</v>
      </c>
      <c r="J403">
        <v>515</v>
      </c>
      <c r="K403" t="s">
        <v>53</v>
      </c>
      <c r="L403">
        <v>1585960</v>
      </c>
      <c r="N403" t="s">
        <v>1036</v>
      </c>
      <c r="P403">
        <v>350</v>
      </c>
      <c r="Q403">
        <v>380</v>
      </c>
      <c r="R403">
        <v>1120</v>
      </c>
      <c r="U403" t="s">
        <v>1045</v>
      </c>
      <c r="V403" t="s">
        <v>48</v>
      </c>
      <c r="W403" t="s">
        <v>49</v>
      </c>
      <c r="X403" t="s">
        <v>50</v>
      </c>
      <c r="Z403" t="s">
        <v>666</v>
      </c>
      <c r="AA403">
        <v>43.279780000000002</v>
      </c>
      <c r="AB403">
        <v>-79.893590000000003</v>
      </c>
      <c r="AC403" t="s">
        <v>666</v>
      </c>
      <c r="AE403" t="s">
        <v>988</v>
      </c>
      <c r="AF403" t="s">
        <v>56</v>
      </c>
      <c r="AG403">
        <v>34</v>
      </c>
      <c r="AH403">
        <v>0.15040000000000001</v>
      </c>
      <c r="AI403">
        <v>-0.6018</v>
      </c>
      <c r="AJ403">
        <v>35532</v>
      </c>
      <c r="AK403">
        <v>130</v>
      </c>
      <c r="AL403">
        <v>270</v>
      </c>
      <c r="AM403">
        <v>730</v>
      </c>
      <c r="AN403" t="s">
        <v>1047</v>
      </c>
      <c r="AP403" s="9">
        <v>46128</v>
      </c>
    </row>
    <row r="404" spans="6:42" x14ac:dyDescent="0.25">
      <c r="F404" s="9">
        <v>45399</v>
      </c>
      <c r="G404" t="s">
        <v>1011</v>
      </c>
      <c r="H404" t="s">
        <v>607</v>
      </c>
      <c r="I404" t="s">
        <v>779</v>
      </c>
      <c r="J404">
        <v>509</v>
      </c>
      <c r="K404" t="s">
        <v>53</v>
      </c>
      <c r="L404">
        <v>1585954</v>
      </c>
      <c r="N404" t="s">
        <v>1037</v>
      </c>
      <c r="P404">
        <v>345</v>
      </c>
      <c r="Q404">
        <v>378</v>
      </c>
      <c r="R404">
        <v>1060</v>
      </c>
      <c r="T404" s="4">
        <v>0.27777777777777779</v>
      </c>
      <c r="U404" t="s">
        <v>1045</v>
      </c>
      <c r="V404" t="s">
        <v>48</v>
      </c>
      <c r="W404" t="s">
        <v>49</v>
      </c>
      <c r="X404" t="s">
        <v>50</v>
      </c>
      <c r="Z404" t="s">
        <v>666</v>
      </c>
      <c r="AA404">
        <v>43.279780000000002</v>
      </c>
      <c r="AB404">
        <v>-79.893590000000003</v>
      </c>
      <c r="AC404" t="s">
        <v>666</v>
      </c>
      <c r="AE404" t="s">
        <v>988</v>
      </c>
      <c r="AF404" t="s">
        <v>56</v>
      </c>
      <c r="AG404">
        <v>34</v>
      </c>
      <c r="AH404">
        <v>0.15040000000000001</v>
      </c>
      <c r="AI404">
        <v>-0.6018</v>
      </c>
      <c r="AJ404">
        <v>35532</v>
      </c>
      <c r="AK404">
        <v>130</v>
      </c>
      <c r="AL404">
        <v>270</v>
      </c>
      <c r="AM404">
        <v>730</v>
      </c>
      <c r="AN404" t="s">
        <v>1048</v>
      </c>
      <c r="AP404" s="9">
        <v>46128</v>
      </c>
    </row>
    <row r="405" spans="6:42" x14ac:dyDescent="0.25">
      <c r="F405" s="9">
        <v>45399</v>
      </c>
      <c r="G405" t="s">
        <v>1011</v>
      </c>
      <c r="H405" t="s">
        <v>607</v>
      </c>
      <c r="I405" t="s">
        <v>779</v>
      </c>
      <c r="J405">
        <v>510</v>
      </c>
      <c r="K405" t="s">
        <v>53</v>
      </c>
      <c r="L405">
        <v>1585955</v>
      </c>
      <c r="N405" t="s">
        <v>1038</v>
      </c>
      <c r="P405">
        <v>344</v>
      </c>
      <c r="Q405">
        <v>382</v>
      </c>
      <c r="R405">
        <v>1020</v>
      </c>
      <c r="T405" s="4">
        <v>0.28472222222222221</v>
      </c>
      <c r="U405" t="s">
        <v>1045</v>
      </c>
      <c r="V405" t="s">
        <v>48</v>
      </c>
      <c r="W405" t="s">
        <v>49</v>
      </c>
      <c r="X405" t="s">
        <v>50</v>
      </c>
      <c r="Z405" t="s">
        <v>666</v>
      </c>
      <c r="AA405">
        <v>43.279780000000002</v>
      </c>
      <c r="AB405">
        <v>-79.893590000000003</v>
      </c>
      <c r="AC405" t="s">
        <v>666</v>
      </c>
      <c r="AE405" t="s">
        <v>988</v>
      </c>
      <c r="AF405" t="s">
        <v>56</v>
      </c>
      <c r="AG405">
        <v>34</v>
      </c>
      <c r="AH405">
        <v>0.15040000000000001</v>
      </c>
      <c r="AI405">
        <v>-0.6018</v>
      </c>
      <c r="AJ405">
        <v>35532</v>
      </c>
      <c r="AK405">
        <v>130</v>
      </c>
      <c r="AL405">
        <v>270</v>
      </c>
      <c r="AM405">
        <v>730</v>
      </c>
      <c r="AN405" t="s">
        <v>1049</v>
      </c>
      <c r="AP405" s="9">
        <v>46128</v>
      </c>
    </row>
    <row r="406" spans="6:42" x14ac:dyDescent="0.25">
      <c r="F406" s="9">
        <v>45399</v>
      </c>
      <c r="G406" t="s">
        <v>1011</v>
      </c>
      <c r="H406" t="s">
        <v>607</v>
      </c>
      <c r="I406" t="s">
        <v>779</v>
      </c>
      <c r="J406">
        <v>511</v>
      </c>
      <c r="K406" t="s">
        <v>53</v>
      </c>
      <c r="L406">
        <v>1585956</v>
      </c>
      <c r="N406" t="s">
        <v>1015</v>
      </c>
      <c r="P406">
        <v>331</v>
      </c>
      <c r="Q406">
        <v>375</v>
      </c>
      <c r="R406">
        <v>980</v>
      </c>
      <c r="T406" s="4">
        <v>0.3125</v>
      </c>
      <c r="U406" t="s">
        <v>1045</v>
      </c>
      <c r="V406" t="s">
        <v>48</v>
      </c>
      <c r="W406" t="s">
        <v>49</v>
      </c>
      <c r="X406" t="s">
        <v>50</v>
      </c>
      <c r="Z406" t="s">
        <v>666</v>
      </c>
      <c r="AA406">
        <v>43.279780000000002</v>
      </c>
      <c r="AB406">
        <v>-79.893590000000003</v>
      </c>
      <c r="AC406" t="s">
        <v>666</v>
      </c>
      <c r="AE406" t="s">
        <v>988</v>
      </c>
      <c r="AF406" t="s">
        <v>56</v>
      </c>
      <c r="AG406">
        <v>34</v>
      </c>
      <c r="AH406">
        <v>0.15040000000000001</v>
      </c>
      <c r="AI406">
        <v>-0.6018</v>
      </c>
      <c r="AJ406">
        <v>35532</v>
      </c>
      <c r="AK406">
        <v>130</v>
      </c>
      <c r="AL406">
        <v>270</v>
      </c>
      <c r="AM406">
        <v>730</v>
      </c>
      <c r="AN406" t="s">
        <v>1052</v>
      </c>
      <c r="AP406" s="9">
        <v>46128</v>
      </c>
    </row>
    <row r="407" spans="6:42" x14ac:dyDescent="0.25">
      <c r="F407" s="9">
        <v>45399</v>
      </c>
      <c r="G407" t="s">
        <v>1011</v>
      </c>
      <c r="H407" t="s">
        <v>607</v>
      </c>
      <c r="I407" t="s">
        <v>779</v>
      </c>
      <c r="J407">
        <v>503</v>
      </c>
      <c r="K407" t="s">
        <v>53</v>
      </c>
      <c r="L407">
        <v>1585948</v>
      </c>
      <c r="N407" t="s">
        <v>1039</v>
      </c>
      <c r="P407">
        <v>340</v>
      </c>
      <c r="Q407">
        <v>378</v>
      </c>
      <c r="R407">
        <v>1000</v>
      </c>
      <c r="T407" s="4">
        <v>0.34027777777777773</v>
      </c>
      <c r="U407" t="s">
        <v>1013</v>
      </c>
      <c r="V407" t="s">
        <v>48</v>
      </c>
      <c r="W407" t="s">
        <v>49</v>
      </c>
      <c r="X407" t="s">
        <v>50</v>
      </c>
      <c r="Z407" t="s">
        <v>666</v>
      </c>
      <c r="AA407">
        <v>43.279780000000002</v>
      </c>
      <c r="AB407">
        <v>-79.893590000000003</v>
      </c>
      <c r="AC407" t="s">
        <v>666</v>
      </c>
      <c r="AE407" t="s">
        <v>988</v>
      </c>
      <c r="AF407" t="s">
        <v>56</v>
      </c>
      <c r="AG407">
        <v>34</v>
      </c>
      <c r="AH407">
        <v>0.15040000000000001</v>
      </c>
      <c r="AI407">
        <v>-0.6018</v>
      </c>
      <c r="AJ407">
        <v>35532</v>
      </c>
      <c r="AK407">
        <v>130</v>
      </c>
      <c r="AL407">
        <v>270</v>
      </c>
      <c r="AM407">
        <v>730</v>
      </c>
      <c r="AN407" t="s">
        <v>1050</v>
      </c>
      <c r="AP407" s="9">
        <v>46128</v>
      </c>
    </row>
    <row r="408" spans="6:42" x14ac:dyDescent="0.25">
      <c r="F408" s="9">
        <v>45399</v>
      </c>
      <c r="G408" t="s">
        <v>1011</v>
      </c>
      <c r="H408" t="s">
        <v>607</v>
      </c>
      <c r="I408" t="s">
        <v>779</v>
      </c>
      <c r="J408">
        <v>504</v>
      </c>
      <c r="K408" t="s">
        <v>53</v>
      </c>
      <c r="L408">
        <v>1585949</v>
      </c>
      <c r="N408" t="s">
        <v>1040</v>
      </c>
      <c r="P408">
        <v>355</v>
      </c>
      <c r="Q408">
        <v>390</v>
      </c>
      <c r="R408">
        <v>1220</v>
      </c>
      <c r="T408" s="4">
        <v>0.3125</v>
      </c>
      <c r="U408" t="s">
        <v>1013</v>
      </c>
      <c r="V408" t="s">
        <v>48</v>
      </c>
      <c r="W408" t="s">
        <v>49</v>
      </c>
      <c r="X408" t="s">
        <v>50</v>
      </c>
      <c r="Z408" t="s">
        <v>666</v>
      </c>
      <c r="AA408">
        <v>43.279780000000002</v>
      </c>
      <c r="AB408">
        <v>-79.893590000000003</v>
      </c>
      <c r="AC408" t="s">
        <v>666</v>
      </c>
      <c r="AE408" t="s">
        <v>988</v>
      </c>
      <c r="AF408" t="s">
        <v>56</v>
      </c>
      <c r="AG408">
        <v>34</v>
      </c>
      <c r="AH408">
        <v>0.15040000000000001</v>
      </c>
      <c r="AI408">
        <v>-0.6018</v>
      </c>
      <c r="AJ408">
        <v>35532</v>
      </c>
      <c r="AK408">
        <v>130</v>
      </c>
      <c r="AL408">
        <v>270</v>
      </c>
      <c r="AM408">
        <v>730</v>
      </c>
      <c r="AN408" t="s">
        <v>1051</v>
      </c>
      <c r="AP408" s="9">
        <v>46128</v>
      </c>
    </row>
    <row r="409" spans="6:42" x14ac:dyDescent="0.25">
      <c r="F409" s="9">
        <v>45399</v>
      </c>
      <c r="G409" t="s">
        <v>1011</v>
      </c>
      <c r="H409" t="s">
        <v>607</v>
      </c>
      <c r="I409" t="s">
        <v>779</v>
      </c>
      <c r="J409">
        <v>512</v>
      </c>
      <c r="K409" t="s">
        <v>53</v>
      </c>
      <c r="L409">
        <v>1585957</v>
      </c>
      <c r="N409" t="s">
        <v>1041</v>
      </c>
      <c r="P409">
        <v>355</v>
      </c>
      <c r="Q409">
        <v>384</v>
      </c>
      <c r="R409">
        <v>1220</v>
      </c>
      <c r="T409" s="4">
        <v>0.30555555555555552</v>
      </c>
      <c r="U409" t="s">
        <v>1013</v>
      </c>
      <c r="V409" t="s">
        <v>48</v>
      </c>
      <c r="W409" t="s">
        <v>49</v>
      </c>
      <c r="X409" t="s">
        <v>50</v>
      </c>
      <c r="Z409" t="s">
        <v>666</v>
      </c>
      <c r="AA409">
        <v>43.279780000000002</v>
      </c>
      <c r="AB409">
        <v>-79.893590000000003</v>
      </c>
      <c r="AC409" t="s">
        <v>666</v>
      </c>
      <c r="AE409" t="s">
        <v>988</v>
      </c>
      <c r="AF409" t="s">
        <v>56</v>
      </c>
      <c r="AG409">
        <v>34</v>
      </c>
      <c r="AH409">
        <v>0.15040000000000001</v>
      </c>
      <c r="AI409">
        <v>-0.6018</v>
      </c>
      <c r="AJ409">
        <v>35532</v>
      </c>
      <c r="AK409">
        <v>130</v>
      </c>
      <c r="AL409">
        <v>270</v>
      </c>
      <c r="AM409">
        <v>730</v>
      </c>
      <c r="AN409" t="s">
        <v>1050</v>
      </c>
      <c r="AP409" s="9">
        <v>46128</v>
      </c>
    </row>
    <row r="410" spans="6:42" x14ac:dyDescent="0.25">
      <c r="F410" s="9">
        <v>45399</v>
      </c>
      <c r="G410" t="s">
        <v>1011</v>
      </c>
      <c r="H410" t="s">
        <v>607</v>
      </c>
      <c r="I410" t="s">
        <v>779</v>
      </c>
      <c r="J410">
        <v>513</v>
      </c>
      <c r="K410" t="s">
        <v>53</v>
      </c>
      <c r="L410">
        <v>1585958</v>
      </c>
      <c r="N410" t="s">
        <v>1042</v>
      </c>
      <c r="P410">
        <v>330</v>
      </c>
      <c r="Q410">
        <v>376</v>
      </c>
      <c r="R410">
        <v>1120</v>
      </c>
      <c r="T410" s="4">
        <v>0.25694444444444448</v>
      </c>
      <c r="U410" t="s">
        <v>1013</v>
      </c>
      <c r="V410" t="s">
        <v>48</v>
      </c>
      <c r="W410" t="s">
        <v>49</v>
      </c>
      <c r="X410" t="s">
        <v>50</v>
      </c>
      <c r="Z410" t="s">
        <v>666</v>
      </c>
      <c r="AA410">
        <v>43.279780000000002</v>
      </c>
      <c r="AB410">
        <v>-79.893590000000003</v>
      </c>
      <c r="AC410" t="s">
        <v>666</v>
      </c>
      <c r="AE410" t="s">
        <v>988</v>
      </c>
      <c r="AF410" t="s">
        <v>56</v>
      </c>
      <c r="AG410">
        <v>34</v>
      </c>
      <c r="AH410">
        <v>0.15040000000000001</v>
      </c>
      <c r="AI410">
        <v>-0.6018</v>
      </c>
      <c r="AJ410">
        <v>35532</v>
      </c>
      <c r="AK410">
        <v>130</v>
      </c>
      <c r="AL410">
        <v>270</v>
      </c>
      <c r="AM410">
        <v>730</v>
      </c>
      <c r="AN410" t="s">
        <v>1053</v>
      </c>
      <c r="AP410" s="9">
        <v>46128</v>
      </c>
    </row>
    <row r="411" spans="6:42" x14ac:dyDescent="0.25">
      <c r="F411" s="9">
        <v>45399</v>
      </c>
      <c r="G411" t="s">
        <v>1011</v>
      </c>
      <c r="H411" t="s">
        <v>607</v>
      </c>
      <c r="I411" t="s">
        <v>779</v>
      </c>
      <c r="J411">
        <v>514</v>
      </c>
      <c r="K411" t="s">
        <v>53</v>
      </c>
      <c r="L411">
        <v>1585959</v>
      </c>
      <c r="N411" t="s">
        <v>1043</v>
      </c>
      <c r="P411">
        <v>345</v>
      </c>
      <c r="Q411">
        <v>382</v>
      </c>
      <c r="R411">
        <v>1120</v>
      </c>
      <c r="T411" s="4">
        <v>0.3125</v>
      </c>
      <c r="U411" t="s">
        <v>1013</v>
      </c>
      <c r="V411" t="s">
        <v>48</v>
      </c>
      <c r="W411" t="s">
        <v>49</v>
      </c>
      <c r="X411" t="s">
        <v>50</v>
      </c>
      <c r="Z411" t="s">
        <v>666</v>
      </c>
      <c r="AA411">
        <v>43.279780000000002</v>
      </c>
      <c r="AB411">
        <v>-79.893590000000003</v>
      </c>
      <c r="AC411" t="s">
        <v>666</v>
      </c>
      <c r="AE411" t="s">
        <v>988</v>
      </c>
      <c r="AF411" t="s">
        <v>56</v>
      </c>
      <c r="AG411">
        <v>34</v>
      </c>
      <c r="AH411">
        <v>0.15040000000000001</v>
      </c>
      <c r="AI411">
        <v>-0.6018</v>
      </c>
      <c r="AJ411">
        <v>35532</v>
      </c>
      <c r="AK411">
        <v>130</v>
      </c>
      <c r="AL411">
        <v>270</v>
      </c>
      <c r="AM411">
        <v>730</v>
      </c>
      <c r="AN411" t="s">
        <v>1054</v>
      </c>
      <c r="AP411" s="9">
        <v>46128</v>
      </c>
    </row>
    <row r="412" spans="6:42" x14ac:dyDescent="0.25">
      <c r="F412" s="9">
        <v>45413</v>
      </c>
      <c r="G412" t="s">
        <v>1011</v>
      </c>
      <c r="H412" t="s">
        <v>607</v>
      </c>
      <c r="I412" t="s">
        <v>779</v>
      </c>
      <c r="J412">
        <v>508</v>
      </c>
      <c r="K412" t="s">
        <v>53</v>
      </c>
      <c r="L412">
        <v>1585953</v>
      </c>
      <c r="N412" t="s">
        <v>1020</v>
      </c>
      <c r="P412">
        <v>350</v>
      </c>
      <c r="Q412">
        <v>375</v>
      </c>
      <c r="R412">
        <v>1040</v>
      </c>
      <c r="T412" s="4">
        <v>0.32291666666666669</v>
      </c>
      <c r="U412" t="s">
        <v>1013</v>
      </c>
      <c r="V412" t="s">
        <v>48</v>
      </c>
      <c r="W412" t="s">
        <v>49</v>
      </c>
      <c r="X412" t="s">
        <v>50</v>
      </c>
      <c r="Z412" t="s">
        <v>666</v>
      </c>
      <c r="AA412">
        <v>43.279780000000002</v>
      </c>
      <c r="AB412">
        <v>-79.893590000000003</v>
      </c>
      <c r="AC412" t="s">
        <v>666</v>
      </c>
      <c r="AE412" t="s">
        <v>988</v>
      </c>
      <c r="AF412" t="s">
        <v>56</v>
      </c>
      <c r="AG412">
        <v>34</v>
      </c>
      <c r="AH412">
        <v>0.15040000000000001</v>
      </c>
      <c r="AI412">
        <v>-0.6018</v>
      </c>
      <c r="AJ412">
        <v>35532</v>
      </c>
      <c r="AK412">
        <v>130</v>
      </c>
      <c r="AL412">
        <v>270</v>
      </c>
      <c r="AM412">
        <v>730</v>
      </c>
      <c r="AN412" t="s">
        <v>1028</v>
      </c>
      <c r="AP412" s="9">
        <v>46142</v>
      </c>
    </row>
    <row r="413" spans="6:42" x14ac:dyDescent="0.25">
      <c r="F413" s="9">
        <v>45413</v>
      </c>
      <c r="G413" t="s">
        <v>1011</v>
      </c>
      <c r="H413" t="s">
        <v>607</v>
      </c>
      <c r="I413" t="s">
        <v>779</v>
      </c>
      <c r="J413">
        <v>502</v>
      </c>
      <c r="K413" t="s">
        <v>53</v>
      </c>
      <c r="L413">
        <v>1585947</v>
      </c>
      <c r="N413" t="s">
        <v>1021</v>
      </c>
      <c r="P413">
        <v>348</v>
      </c>
      <c r="Q413">
        <v>386</v>
      </c>
      <c r="R413">
        <v>1150</v>
      </c>
      <c r="T413" s="4">
        <v>0.42708333333333331</v>
      </c>
      <c r="U413" t="s">
        <v>1013</v>
      </c>
      <c r="V413" t="s">
        <v>48</v>
      </c>
      <c r="W413" t="s">
        <v>49</v>
      </c>
      <c r="X413" t="s">
        <v>50</v>
      </c>
      <c r="Z413" t="s">
        <v>666</v>
      </c>
      <c r="AA413">
        <v>43.279780000000002</v>
      </c>
      <c r="AB413">
        <v>-79.893590000000003</v>
      </c>
      <c r="AC413" t="s">
        <v>666</v>
      </c>
      <c r="AE413" t="s">
        <v>988</v>
      </c>
      <c r="AF413" t="s">
        <v>56</v>
      </c>
      <c r="AG413">
        <v>34</v>
      </c>
      <c r="AH413">
        <v>0.15040000000000001</v>
      </c>
      <c r="AI413">
        <v>-0.6018</v>
      </c>
      <c r="AJ413">
        <v>35532</v>
      </c>
      <c r="AK413">
        <v>130</v>
      </c>
      <c r="AL413">
        <v>270</v>
      </c>
      <c r="AM413">
        <v>730</v>
      </c>
      <c r="AN413" t="s">
        <v>1018</v>
      </c>
      <c r="AO413" t="s">
        <v>1032</v>
      </c>
      <c r="AP413" s="9">
        <v>46142</v>
      </c>
    </row>
    <row r="414" spans="6:42" x14ac:dyDescent="0.25">
      <c r="F414" s="9">
        <v>45413</v>
      </c>
      <c r="G414" t="s">
        <v>1011</v>
      </c>
      <c r="H414" t="s">
        <v>607</v>
      </c>
      <c r="I414" t="s">
        <v>779</v>
      </c>
      <c r="J414">
        <v>501</v>
      </c>
      <c r="K414" t="s">
        <v>53</v>
      </c>
      <c r="L414">
        <v>1585946</v>
      </c>
      <c r="N414" t="s">
        <v>1022</v>
      </c>
      <c r="P414">
        <v>342</v>
      </c>
      <c r="Q414">
        <v>381</v>
      </c>
      <c r="R414">
        <v>1900</v>
      </c>
      <c r="T414" s="4">
        <v>0.3125</v>
      </c>
      <c r="U414" t="s">
        <v>1013</v>
      </c>
      <c r="V414" t="s">
        <v>48</v>
      </c>
      <c r="W414" t="s">
        <v>49</v>
      </c>
      <c r="X414" t="s">
        <v>50</v>
      </c>
      <c r="Z414" t="s">
        <v>666</v>
      </c>
      <c r="AA414">
        <v>43.279780000000002</v>
      </c>
      <c r="AB414">
        <v>-79.893590000000003</v>
      </c>
      <c r="AC414" t="s">
        <v>666</v>
      </c>
      <c r="AE414" t="s">
        <v>988</v>
      </c>
      <c r="AF414" t="s">
        <v>56</v>
      </c>
      <c r="AG414">
        <v>34</v>
      </c>
      <c r="AH414">
        <v>0.15040000000000001</v>
      </c>
      <c r="AI414">
        <v>-0.6018</v>
      </c>
      <c r="AJ414">
        <v>35532</v>
      </c>
      <c r="AK414">
        <v>130</v>
      </c>
      <c r="AL414">
        <v>270</v>
      </c>
      <c r="AM414">
        <v>730</v>
      </c>
      <c r="AN414" t="s">
        <v>1029</v>
      </c>
      <c r="AP414" s="9">
        <v>46142</v>
      </c>
    </row>
    <row r="415" spans="6:42" x14ac:dyDescent="0.25">
      <c r="F415" s="9">
        <v>45413</v>
      </c>
      <c r="G415" t="s">
        <v>1011</v>
      </c>
      <c r="H415" t="s">
        <v>607</v>
      </c>
      <c r="I415" t="s">
        <v>779</v>
      </c>
      <c r="J415">
        <v>499</v>
      </c>
      <c r="K415" t="s">
        <v>53</v>
      </c>
      <c r="L415">
        <v>1585944</v>
      </c>
      <c r="N415" t="s">
        <v>1023</v>
      </c>
      <c r="P415">
        <v>326</v>
      </c>
      <c r="Q415">
        <v>355</v>
      </c>
      <c r="R415">
        <v>910</v>
      </c>
      <c r="S415" t="s">
        <v>206</v>
      </c>
      <c r="T415" s="4">
        <v>0.26111111111111113</v>
      </c>
      <c r="U415" t="s">
        <v>1013</v>
      </c>
      <c r="V415" t="s">
        <v>48</v>
      </c>
      <c r="W415" t="s">
        <v>49</v>
      </c>
      <c r="X415" t="s">
        <v>50</v>
      </c>
      <c r="Z415" t="s">
        <v>666</v>
      </c>
      <c r="AA415">
        <v>43.279780000000002</v>
      </c>
      <c r="AB415">
        <v>-79.893590000000003</v>
      </c>
      <c r="AC415" t="s">
        <v>666</v>
      </c>
      <c r="AE415" t="s">
        <v>988</v>
      </c>
      <c r="AF415" t="s">
        <v>56</v>
      </c>
      <c r="AG415">
        <v>34</v>
      </c>
      <c r="AH415">
        <v>0.15040000000000001</v>
      </c>
      <c r="AI415">
        <v>-0.6018</v>
      </c>
      <c r="AJ415">
        <v>35532</v>
      </c>
      <c r="AK415">
        <v>130</v>
      </c>
      <c r="AL415">
        <v>270</v>
      </c>
      <c r="AM415">
        <v>730</v>
      </c>
      <c r="AN415" t="s">
        <v>1030</v>
      </c>
      <c r="AP415" s="9">
        <v>46142</v>
      </c>
    </row>
    <row r="416" spans="6:42" x14ac:dyDescent="0.25">
      <c r="F416" s="9">
        <v>45413</v>
      </c>
      <c r="G416" t="s">
        <v>1011</v>
      </c>
      <c r="H416" t="s">
        <v>607</v>
      </c>
      <c r="I416" t="s">
        <v>779</v>
      </c>
      <c r="J416">
        <v>498</v>
      </c>
      <c r="K416" t="s">
        <v>53</v>
      </c>
      <c r="L416">
        <v>1585943</v>
      </c>
      <c r="N416" t="s">
        <v>1024</v>
      </c>
      <c r="P416">
        <v>361</v>
      </c>
      <c r="Q416">
        <v>392</v>
      </c>
      <c r="R416">
        <v>1210</v>
      </c>
      <c r="T416" s="4">
        <v>0.26180555555555557</v>
      </c>
      <c r="U416" t="s">
        <v>1027</v>
      </c>
      <c r="V416" t="s">
        <v>48</v>
      </c>
      <c r="W416" t="s">
        <v>49</v>
      </c>
      <c r="X416" t="s">
        <v>50</v>
      </c>
      <c r="Z416" t="s">
        <v>666</v>
      </c>
      <c r="AA416">
        <v>43.279780000000002</v>
      </c>
      <c r="AB416">
        <v>-79.893590000000003</v>
      </c>
      <c r="AC416" t="s">
        <v>666</v>
      </c>
      <c r="AE416" t="s">
        <v>988</v>
      </c>
      <c r="AF416" t="s">
        <v>56</v>
      </c>
      <c r="AG416">
        <v>34</v>
      </c>
      <c r="AH416">
        <v>0.15040000000000001</v>
      </c>
      <c r="AI416">
        <v>-0.6018</v>
      </c>
      <c r="AJ416">
        <v>35532</v>
      </c>
      <c r="AK416">
        <v>130</v>
      </c>
      <c r="AL416">
        <v>270</v>
      </c>
      <c r="AM416">
        <v>730</v>
      </c>
      <c r="AN416" t="s">
        <v>1029</v>
      </c>
      <c r="AP416" s="9">
        <v>46142</v>
      </c>
    </row>
    <row r="417" spans="6:42" x14ac:dyDescent="0.25">
      <c r="F417" s="9">
        <v>45413</v>
      </c>
      <c r="G417" t="s">
        <v>1011</v>
      </c>
      <c r="H417" t="s">
        <v>607</v>
      </c>
      <c r="I417" t="s">
        <v>779</v>
      </c>
      <c r="J417">
        <v>505</v>
      </c>
      <c r="K417" t="s">
        <v>53</v>
      </c>
      <c r="L417">
        <v>1585950</v>
      </c>
      <c r="N417" t="s">
        <v>1025</v>
      </c>
      <c r="P417">
        <v>323</v>
      </c>
      <c r="Q417">
        <v>365</v>
      </c>
      <c r="R417">
        <v>950</v>
      </c>
      <c r="T417" s="4">
        <v>0.35416666666666669</v>
      </c>
      <c r="U417" t="s">
        <v>1027</v>
      </c>
      <c r="V417" t="s">
        <v>48</v>
      </c>
      <c r="W417" t="s">
        <v>49</v>
      </c>
      <c r="X417" t="s">
        <v>50</v>
      </c>
      <c r="Z417" t="s">
        <v>666</v>
      </c>
      <c r="AA417">
        <v>43.279780000000002</v>
      </c>
      <c r="AB417">
        <v>-79.893590000000003</v>
      </c>
      <c r="AC417" t="s">
        <v>666</v>
      </c>
      <c r="AE417" t="s">
        <v>988</v>
      </c>
      <c r="AF417" t="s">
        <v>56</v>
      </c>
      <c r="AG417">
        <v>34</v>
      </c>
      <c r="AH417">
        <v>0.15040000000000001</v>
      </c>
      <c r="AI417">
        <v>-0.6018</v>
      </c>
      <c r="AJ417">
        <v>35532</v>
      </c>
      <c r="AK417">
        <v>130</v>
      </c>
      <c r="AL417">
        <v>270</v>
      </c>
      <c r="AM417">
        <v>730</v>
      </c>
      <c r="AN417" t="s">
        <v>1014</v>
      </c>
      <c r="AP417" s="9">
        <v>46142</v>
      </c>
    </row>
    <row r="418" spans="6:42" x14ac:dyDescent="0.25">
      <c r="F418" s="9">
        <v>45413</v>
      </c>
      <c r="G418" t="s">
        <v>1011</v>
      </c>
      <c r="H418" t="s">
        <v>607</v>
      </c>
      <c r="I418" t="s">
        <v>779</v>
      </c>
      <c r="J418">
        <v>497</v>
      </c>
      <c r="K418" t="s">
        <v>53</v>
      </c>
      <c r="L418">
        <v>1595846</v>
      </c>
      <c r="N418" t="s">
        <v>1026</v>
      </c>
      <c r="P418">
        <v>373</v>
      </c>
      <c r="Q418">
        <v>406</v>
      </c>
      <c r="R418">
        <v>1220</v>
      </c>
      <c r="S418" t="s">
        <v>206</v>
      </c>
      <c r="T418" s="4">
        <v>0.28819444444444448</v>
      </c>
      <c r="U418" t="s">
        <v>1027</v>
      </c>
      <c r="V418" t="s">
        <v>48</v>
      </c>
      <c r="W418" t="s">
        <v>49</v>
      </c>
      <c r="X418" t="s">
        <v>50</v>
      </c>
      <c r="Z418" t="s">
        <v>666</v>
      </c>
      <c r="AA418">
        <v>43.279780000000002</v>
      </c>
      <c r="AB418">
        <v>-79.893590000000003</v>
      </c>
      <c r="AC418" t="s">
        <v>666</v>
      </c>
      <c r="AE418" t="s">
        <v>988</v>
      </c>
      <c r="AF418" t="s">
        <v>56</v>
      </c>
      <c r="AG418">
        <v>34</v>
      </c>
      <c r="AH418">
        <v>0.15040000000000001</v>
      </c>
      <c r="AI418">
        <v>-0.6018</v>
      </c>
      <c r="AJ418">
        <v>35532</v>
      </c>
      <c r="AK418">
        <v>130</v>
      </c>
      <c r="AL418">
        <v>270</v>
      </c>
      <c r="AM418">
        <v>730</v>
      </c>
      <c r="AN418" t="s">
        <v>1031</v>
      </c>
      <c r="AP418" s="9">
        <v>46142</v>
      </c>
    </row>
  </sheetData>
  <autoFilter ref="A1:AP418" xr:uid="{B0DC2370-1D6A-4F27-808B-435BBE9994B3}">
    <filterColumn colId="7">
      <filters>
        <filter val="Rudd"/>
      </filters>
    </filterColumn>
  </autoFilter>
  <phoneticPr fontId="1" type="noConversion"/>
  <pageMargins left="0.7" right="0.7" top="0.75" bottom="0.75" header="0.3" footer="0.3"/>
  <headerFooter>
    <oddHeader>&amp;R&amp;"Calibri"&amp;12&amp;K000000 Unclassified - Non-Classifié&amp;1#_x000D_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Glasbergen, Joshua (DFO/MPO)</dc:creator>
  <cp:lastModifiedBy>Turner, Nicole (DFO/MPO)</cp:lastModifiedBy>
  <dcterms:created xsi:type="dcterms:W3CDTF">2024-06-17T18:33:56Z</dcterms:created>
  <dcterms:modified xsi:type="dcterms:W3CDTF">2025-10-23T15:50:08Z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e6cdb53-fd15-486d-84de-c510e3a62203_Enabled">
    <vt:lpwstr>true</vt:lpwstr>
  </property>
  <property fmtid="{D5CDD505-2E9C-101B-9397-08002B2CF9AE}" pid="3" name="MSIP_Label_4e6cdb53-fd15-486d-84de-c510e3a62203_SetDate">
    <vt:lpwstr>2025-10-23T15:49:44Z</vt:lpwstr>
  </property>
  <property fmtid="{D5CDD505-2E9C-101B-9397-08002B2CF9AE}" pid="4" name="MSIP_Label_4e6cdb53-fd15-486d-84de-c510e3a62203_Method">
    <vt:lpwstr>Standard</vt:lpwstr>
  </property>
  <property fmtid="{D5CDD505-2E9C-101B-9397-08002B2CF9AE}" pid="5" name="MSIP_Label_4e6cdb53-fd15-486d-84de-c510e3a62203_Name">
    <vt:lpwstr>UNCLASSIFIED - NON-CLASSIFIÉ</vt:lpwstr>
  </property>
  <property fmtid="{D5CDD505-2E9C-101B-9397-08002B2CF9AE}" pid="6" name="MSIP_Label_4e6cdb53-fd15-486d-84de-c510e3a62203_SiteId">
    <vt:lpwstr>1594fdae-a1d9-4405-915d-011467234338</vt:lpwstr>
  </property>
  <property fmtid="{D5CDD505-2E9C-101B-9397-08002B2CF9AE}" pid="7" name="MSIP_Label_4e6cdb53-fd15-486d-84de-c510e3a62203_ActionId">
    <vt:lpwstr>3ab1d69b-5b4e-48d1-9197-18103a979e3a</vt:lpwstr>
  </property>
  <property fmtid="{D5CDD505-2E9C-101B-9397-08002B2CF9AE}" pid="8" name="MSIP_Label_4e6cdb53-fd15-486d-84de-c510e3a62203_ContentBits">
    <vt:lpwstr>1</vt:lpwstr>
  </property>
</Properties>
</file>